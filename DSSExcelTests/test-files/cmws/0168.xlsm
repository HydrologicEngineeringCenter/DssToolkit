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nwo-netapp1.nwo.ds.usace.army.mil\Water Management\Public\PowerProduction\0168s\"/>
    </mc:Choice>
  </mc:AlternateContent>
  <xr:revisionPtr revIDLastSave="0" documentId="13_ncr:1_{D24F43DE-B867-4835-9BAE-AD48E90CF320}" xr6:coauthVersionLast="45" xr6:coauthVersionMax="45" xr10:uidLastSave="{00000000-0000-0000-0000-000000000000}"/>
  <bookViews>
    <workbookView xWindow="-120" yWindow="-120" windowWidth="29040" windowHeight="17640" tabRatio="683" activeTab="5" xr2:uid="{00000000-000D-0000-FFFF-FFFF00000000}"/>
  </bookViews>
  <sheets>
    <sheet name="FTPK" sheetId="992" r:id="rId1"/>
    <sheet name="GARR" sheetId="999" r:id="rId2"/>
    <sheet name="OAHE" sheetId="1000" r:id="rId3"/>
    <sheet name="BEND" sheetId="1001" r:id="rId4"/>
    <sheet name="FTRA" sheetId="1002" r:id="rId5"/>
    <sheet name="GAPT" sheetId="1003" r:id="rId6"/>
    <sheet name="CWMS Data" sheetId="998" r:id="rId7"/>
    <sheet name="Write2Db" sheetId="1004" r:id="rId8"/>
    <sheet name="CsvData" sheetId="1005" r:id="rId9"/>
  </sheets>
  <definedNames>
    <definedName name="BEND_Storage_Diff_acft">(SUM(BEND!$M$7:$M$37)-SUM(BEND!$E$7:$E$37)-SUM(BEND!$K$7:$K$37)) * (86400/43560) - BEND!$L$41</definedName>
    <definedName name="BEND_Storage_Diff_cfs" comment="Difference in calculated storage change (inflow - outflow) and observed storage change (EOM Storage - SOM Storage) converted to cfs">SUM(BEND!$M$7:$M$37)-SUM(BEND!$E$7:$E$37)-SUM(BEND!$K$7:$K$37)-(BEND!$L$41*(43560/86400))</definedName>
    <definedName name="FTPK_Storage_Diff_acft">(SUM(FTPK!$M$7:$M$37)-SUM(FTPK!$E$7:$E$37)-SUM(FTPK!$K$7:$K$37)) * (86400/43560)-FTPK!$L$41</definedName>
    <definedName name="FTPK_Storage_Diff_cfs" comment="Difference in calculated storage change (inflow - outflow) and observed storage change (EOM Storage - SOM Storage) converted to cfs">SUM(FTPK!$M$7:$M$37)-SUM(FTPK!$E$7:$E$37)-SUM(FTPK!$K$7:$K$37)-(FTPK!$L$41*(43560/86400))</definedName>
    <definedName name="FTRA_Storage_Diff_acft">(SUM(FTRA!$M$7:$M$37)-SUM(FTRA!$E$7:$E$37)-SUM(FTRA!$K$7:$K$37)) * (86400/43560)-FTRA!$L$41</definedName>
    <definedName name="FTRA_Storage_Diff_cfs" comment="Difference in calculated storage change (inflow - outflow) and observed storage change (EOM Storage - SOM Storage) converted to cfs">SUM(FTRA!$M$7:$M$37)-SUM(FTRA!$E$7:$E$37)-SUM(FTRA!$K$7:$K$37)-(FTRA!$L$41*(43560/86400))</definedName>
    <definedName name="GAPT_Storage_Diff_acft">(SUM(GAPT!$M$7:$M$37)-SUM(GAPT!$E$7:$E$37)-SUM(GAPT!$K$7:$K$37)) * (86400/43560) - GAPT!$L$41</definedName>
    <definedName name="GAPT_Storage_Diff_cfs" localSheetId="5">SUM(GAPT!$M$7:$M$37)-SUM(GAPT!$E$7:$E$37)-SUM(GAPT!$K$7:$K$37)-(GAPT!$L$41*(43560/86400))</definedName>
    <definedName name="GARR_Storage_Diff_acft">(SUM(GARR!$O$7:$O$37)-SUM(GARR!$E$7:$E$37)-SUM(GARR!$M$7:$M$37)-SUM(GARR!$K$7:$K$37)) * (86400/43560) - GARR!$N$41</definedName>
    <definedName name="GARR_Storage_Diff_cfs" comment="Difference in calculated storage change (inflow - outflow) and observed storage change (EOM Storage - SOM Storage) converted to cfs">SUM(GARR!$O$7:$O$37)-SUM(GARR!$E$7:$E$37)-SUM(GARR!$M$7:$M$37)-SUM(GARR!$K$7:$K$37)-(GARR!$N$41*(43560/86400))</definedName>
    <definedName name="OAHE_Storage_Diff_acft">(SUM(OAHE!$M$7:$M$37)-SUM(OAHE!$E$7:$E$37)-SUM(OAHE!$K$7:$K$37)) * (86400/43560) - OAHE!$L$41</definedName>
    <definedName name="OAHE_Storage_Diff_cfs" comment="Difference in calculated storage change (inflow - outflow) and observed storage change (EOM Storage - SOM Storage) converted to cfs">SUM(OAHE!$M$7:$M$37)-SUM(OAHE!$E$7:$E$37)-SUM(OAHE!$K$7:$K$37)-(OAHE!$L$41*(43560/86400))</definedName>
    <definedName name="_xlnm.Print_Area" localSheetId="3">BEND!$A$1:$N$46</definedName>
    <definedName name="_xlnm.Print_Area" localSheetId="0">FTPK!$A$1:$N$46</definedName>
    <definedName name="_xlnm.Print_Area" localSheetId="4">FTRA!$A$1:$N$46</definedName>
    <definedName name="_xlnm.Print_Area" localSheetId="5">GAPT!$A$1:$N$46</definedName>
    <definedName name="_xlnm.Print_Area" localSheetId="1">GARR!$A$1:$P$46</definedName>
    <definedName name="_xlnm.Print_Area" localSheetId="2">OAHE!$A$1:$N$46</definedName>
  </definedNames>
  <calcPr calcId="191029" iterate="1" iterateCount="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38" i="1002" l="1"/>
  <c r="D10" i="992"/>
  <c r="P8" i="992"/>
  <c r="R9" i="992"/>
  <c r="M7" i="1003"/>
  <c r="M8" i="1003"/>
  <c r="M9" i="1003"/>
  <c r="M10" i="1003"/>
  <c r="M11" i="1003"/>
  <c r="M12" i="1003"/>
  <c r="M13" i="1003"/>
  <c r="M15" i="1003"/>
  <c r="M16" i="1003"/>
  <c r="M17" i="1003"/>
  <c r="M18" i="1003"/>
  <c r="M19" i="1003"/>
  <c r="M20" i="1003"/>
  <c r="M21" i="1003"/>
  <c r="M22" i="1003"/>
  <c r="M23" i="1003"/>
  <c r="M24" i="1003"/>
  <c r="M25" i="1003"/>
  <c r="M26" i="1003"/>
  <c r="M27" i="1003"/>
  <c r="M28" i="1003"/>
  <c r="M29" i="1003"/>
  <c r="M30" i="1003"/>
  <c r="M31" i="1003"/>
  <c r="M32" i="1003"/>
  <c r="M34" i="1003"/>
  <c r="M35" i="1003"/>
  <c r="M36" i="1003"/>
  <c r="M37" i="1003"/>
  <c r="E8" i="1003"/>
  <c r="E12" i="1003"/>
  <c r="E13" i="1003"/>
  <c r="E14" i="1003"/>
  <c r="E15" i="1003"/>
  <c r="E17" i="1003"/>
  <c r="E18" i="1003"/>
  <c r="E19" i="1003"/>
  <c r="E20" i="1003"/>
  <c r="E21" i="1003"/>
  <c r="E22" i="1003"/>
  <c r="E23" i="1003"/>
  <c r="E24" i="1003"/>
  <c r="E25" i="1003"/>
  <c r="E26" i="1003"/>
  <c r="E27" i="1003"/>
  <c r="E28" i="1003"/>
  <c r="E29" i="1003"/>
  <c r="E30" i="1003"/>
  <c r="E31" i="1003"/>
  <c r="E32" i="1003"/>
  <c r="E33" i="1003"/>
  <c r="E34" i="1003"/>
  <c r="E35" i="1003"/>
  <c r="E36" i="1003"/>
  <c r="E37" i="1003"/>
  <c r="M7" i="1002"/>
  <c r="M8" i="1002"/>
  <c r="M9" i="1002"/>
  <c r="M10" i="1002"/>
  <c r="M11" i="1002"/>
  <c r="M12" i="1002"/>
  <c r="M13" i="1002"/>
  <c r="M14" i="1002"/>
  <c r="M15" i="1002"/>
  <c r="M16" i="1002"/>
  <c r="M17" i="1002"/>
  <c r="M18" i="1002"/>
  <c r="M19" i="1002"/>
  <c r="M20" i="1002"/>
  <c r="M21" i="1002"/>
  <c r="M22" i="1002"/>
  <c r="M23" i="1002"/>
  <c r="M24" i="1002"/>
  <c r="M25" i="1002"/>
  <c r="M26" i="1002"/>
  <c r="M27" i="1002"/>
  <c r="M28" i="1002"/>
  <c r="M30" i="1002"/>
  <c r="M31" i="1002"/>
  <c r="M32" i="1002"/>
  <c r="M33" i="1002"/>
  <c r="M34" i="1002"/>
  <c r="M35" i="1002"/>
  <c r="M36" i="1002"/>
  <c r="M37" i="1002"/>
  <c r="E8" i="1002"/>
  <c r="E9" i="1002"/>
  <c r="E10" i="1002"/>
  <c r="E11" i="1002"/>
  <c r="E12" i="1002"/>
  <c r="E13" i="1002"/>
  <c r="E14" i="1002"/>
  <c r="E15" i="1002"/>
  <c r="E16" i="1002"/>
  <c r="E17" i="1002"/>
  <c r="E18" i="1002"/>
  <c r="E19" i="1002"/>
  <c r="E20" i="1002"/>
  <c r="E21" i="1002"/>
  <c r="E22" i="1002"/>
  <c r="E23" i="1002"/>
  <c r="E24" i="1002"/>
  <c r="E25" i="1002"/>
  <c r="E26" i="1002"/>
  <c r="E27" i="1002"/>
  <c r="E28" i="1002"/>
  <c r="E29" i="1002"/>
  <c r="E30" i="1002"/>
  <c r="E31" i="1002"/>
  <c r="E32" i="1002"/>
  <c r="E33" i="1002"/>
  <c r="E34" i="1002"/>
  <c r="E35" i="1002"/>
  <c r="E36" i="1002"/>
  <c r="E37" i="1002"/>
  <c r="M7" i="1001"/>
  <c r="M8" i="1001"/>
  <c r="M9" i="1001"/>
  <c r="M10" i="1001"/>
  <c r="M11" i="1001"/>
  <c r="M12" i="1001"/>
  <c r="M13" i="1001"/>
  <c r="M14" i="1001"/>
  <c r="M15" i="1001"/>
  <c r="M16" i="1001"/>
  <c r="M17" i="1001"/>
  <c r="M18" i="1001"/>
  <c r="M19" i="1001"/>
  <c r="M20" i="1001"/>
  <c r="M21" i="1001"/>
  <c r="M22" i="1001"/>
  <c r="M23" i="1001"/>
  <c r="M24" i="1001"/>
  <c r="M25" i="1001"/>
  <c r="M26" i="1001"/>
  <c r="M27" i="1001"/>
  <c r="M28" i="1001"/>
  <c r="M29" i="1001"/>
  <c r="M30" i="1001"/>
  <c r="M31" i="1001"/>
  <c r="M32" i="1001"/>
  <c r="M33" i="1001"/>
  <c r="M34" i="1001"/>
  <c r="M35" i="1001"/>
  <c r="M36" i="1001"/>
  <c r="M37" i="1001"/>
  <c r="E14" i="1001"/>
  <c r="E15" i="1001"/>
  <c r="E16" i="1001"/>
  <c r="E17" i="1001"/>
  <c r="E18" i="1001"/>
  <c r="E19" i="1001"/>
  <c r="E20" i="1001"/>
  <c r="E21" i="1001"/>
  <c r="E22" i="1001"/>
  <c r="E23" i="1001"/>
  <c r="E24" i="1001"/>
  <c r="E25" i="1001"/>
  <c r="E26" i="1001"/>
  <c r="E27" i="1001"/>
  <c r="E28" i="1001"/>
  <c r="E29" i="1001"/>
  <c r="E30" i="1001"/>
  <c r="E31" i="1001"/>
  <c r="E32" i="1001"/>
  <c r="E33" i="1001"/>
  <c r="E34" i="1001"/>
  <c r="E35" i="1001"/>
  <c r="E36" i="1001"/>
  <c r="E37" i="1001"/>
  <c r="M7" i="1000"/>
  <c r="M8" i="1000"/>
  <c r="M9" i="1000"/>
  <c r="M10" i="1000"/>
  <c r="M11" i="1000"/>
  <c r="M12" i="1000"/>
  <c r="M13" i="1000"/>
  <c r="M14" i="1000"/>
  <c r="M15" i="1000"/>
  <c r="M16" i="1000"/>
  <c r="M17" i="1000"/>
  <c r="M18" i="1000"/>
  <c r="M19" i="1000"/>
  <c r="M20" i="1000"/>
  <c r="M21" i="1000"/>
  <c r="M22" i="1000"/>
  <c r="M23" i="1000"/>
  <c r="M24" i="1000"/>
  <c r="M25" i="1000"/>
  <c r="M26" i="1000"/>
  <c r="M27" i="1000"/>
  <c r="M28" i="1000"/>
  <c r="M29" i="1000"/>
  <c r="M30" i="1000"/>
  <c r="M31" i="1000"/>
  <c r="M32" i="1000"/>
  <c r="M33" i="1000"/>
  <c r="M34" i="1000"/>
  <c r="M35" i="1000"/>
  <c r="M36" i="1000"/>
  <c r="M37" i="1000"/>
  <c r="E7" i="1000"/>
  <c r="E11" i="1000"/>
  <c r="E12" i="1000"/>
  <c r="E13" i="1000"/>
  <c r="E14" i="1000"/>
  <c r="E15" i="1000"/>
  <c r="E16" i="1000"/>
  <c r="E17" i="1000"/>
  <c r="E18" i="1000"/>
  <c r="E19" i="1000"/>
  <c r="E20" i="1000"/>
  <c r="E21" i="1000"/>
  <c r="E22" i="1000"/>
  <c r="E23" i="1000"/>
  <c r="E24" i="1000"/>
  <c r="E25" i="1000"/>
  <c r="E26" i="1000"/>
  <c r="E27" i="1000"/>
  <c r="E28" i="1000"/>
  <c r="E29" i="1000"/>
  <c r="E30" i="1000"/>
  <c r="E31" i="1000"/>
  <c r="E32" i="1000"/>
  <c r="E33" i="1000"/>
  <c r="E34" i="1000"/>
  <c r="E35" i="1000"/>
  <c r="E36" i="1000"/>
  <c r="E37" i="1000"/>
  <c r="O7" i="999"/>
  <c r="O8" i="999"/>
  <c r="O9" i="999"/>
  <c r="O10" i="999"/>
  <c r="O13" i="999"/>
  <c r="O14" i="999"/>
  <c r="O15" i="999"/>
  <c r="O16" i="999"/>
  <c r="O17" i="999"/>
  <c r="O18" i="999"/>
  <c r="O19" i="999"/>
  <c r="O20" i="999"/>
  <c r="O21" i="999"/>
  <c r="O24" i="999"/>
  <c r="O25" i="999"/>
  <c r="O26" i="999"/>
  <c r="O27" i="999"/>
  <c r="O28" i="999"/>
  <c r="O29" i="999"/>
  <c r="O30" i="999"/>
  <c r="O31" i="999"/>
  <c r="O32" i="999"/>
  <c r="O33" i="999"/>
  <c r="O34" i="999"/>
  <c r="O35" i="999"/>
  <c r="O36" i="999"/>
  <c r="O37" i="999"/>
  <c r="E7" i="999"/>
  <c r="E8" i="999"/>
  <c r="E9" i="999"/>
  <c r="E10" i="999"/>
  <c r="E11" i="999"/>
  <c r="E12" i="999"/>
  <c r="E13" i="999"/>
  <c r="E14" i="999"/>
  <c r="E15" i="999"/>
  <c r="E16" i="999"/>
  <c r="E17" i="999"/>
  <c r="E21" i="999"/>
  <c r="E22" i="999"/>
  <c r="E23" i="999"/>
  <c r="E24" i="999"/>
  <c r="E25" i="999"/>
  <c r="E26" i="999"/>
  <c r="E27" i="999"/>
  <c r="E28" i="999"/>
  <c r="E29" i="999"/>
  <c r="E30" i="999"/>
  <c r="E31" i="999"/>
  <c r="E32" i="999"/>
  <c r="E33" i="999"/>
  <c r="E34" i="999"/>
  <c r="E35" i="999"/>
  <c r="E36" i="999"/>
  <c r="E37" i="999"/>
  <c r="M7" i="992"/>
  <c r="M8" i="992"/>
  <c r="M9" i="992"/>
  <c r="M10" i="992"/>
  <c r="M11" i="992"/>
  <c r="M12" i="992"/>
  <c r="M13" i="992"/>
  <c r="M14" i="992"/>
  <c r="M15" i="992"/>
  <c r="M16" i="992"/>
  <c r="M17" i="992"/>
  <c r="M18" i="992"/>
  <c r="M19" i="992"/>
  <c r="M20" i="992"/>
  <c r="M21" i="992"/>
  <c r="M22" i="992"/>
  <c r="M23" i="992"/>
  <c r="M24" i="992"/>
  <c r="M25" i="992"/>
  <c r="M26" i="992"/>
  <c r="M27" i="992"/>
  <c r="M28" i="992"/>
  <c r="M29" i="992"/>
  <c r="M30" i="992"/>
  <c r="M31" i="992"/>
  <c r="M32" i="992"/>
  <c r="M33" i="992"/>
  <c r="M34" i="992"/>
  <c r="M35" i="992"/>
  <c r="M36" i="992"/>
  <c r="M37" i="992"/>
  <c r="E7" i="992"/>
  <c r="E8" i="992"/>
  <c r="E9" i="992"/>
  <c r="E11" i="992"/>
  <c r="E12" i="992"/>
  <c r="E13" i="992"/>
  <c r="E14" i="992"/>
  <c r="E15" i="992"/>
  <c r="E17" i="992"/>
  <c r="E18" i="992"/>
  <c r="E19" i="992"/>
  <c r="E20" i="992"/>
  <c r="E21" i="992"/>
  <c r="E22" i="992"/>
  <c r="E23" i="992"/>
  <c r="E24" i="992"/>
  <c r="E25" i="992"/>
  <c r="E26" i="992"/>
  <c r="E27" i="992"/>
  <c r="E28" i="992"/>
  <c r="E29" i="992"/>
  <c r="E30" i="992"/>
  <c r="E31" i="992"/>
  <c r="E32" i="992"/>
  <c r="E33" i="992"/>
  <c r="E34" i="992"/>
  <c r="E35" i="992"/>
  <c r="E36" i="992"/>
  <c r="D11" i="992" l="1"/>
  <c r="G11" i="1003" l="1"/>
  <c r="G14" i="1003"/>
  <c r="D20" i="1000" l="1"/>
  <c r="D18" i="1000" l="1"/>
  <c r="D32" i="1003" l="1"/>
  <c r="D16" i="1003" l="1"/>
  <c r="E39" i="1000" l="1"/>
  <c r="E39" i="1002" l="1"/>
  <c r="E39" i="992"/>
  <c r="M39" i="1000"/>
  <c r="M39" i="992"/>
  <c r="M39" i="1002"/>
  <c r="E39" i="999"/>
  <c r="M39" i="1001"/>
  <c r="M39" i="1003"/>
  <c r="E39" i="1001"/>
  <c r="E39" i="1003"/>
  <c r="D21" i="1003"/>
  <c r="D17" i="1002" l="1"/>
  <c r="M40" i="1001" l="1"/>
  <c r="N9" i="1004"/>
  <c r="N11" i="1004"/>
  <c r="N17" i="1004"/>
  <c r="N26" i="1004"/>
  <c r="N28" i="1004"/>
  <c r="N31" i="1004"/>
  <c r="N36" i="1004"/>
  <c r="N38" i="1004"/>
  <c r="M11" i="1004"/>
  <c r="M13" i="1004"/>
  <c r="M17" i="1004"/>
  <c r="M19" i="1004"/>
  <c r="M21" i="1004"/>
  <c r="M26" i="1004"/>
  <c r="M29" i="1004"/>
  <c r="M31" i="1004"/>
  <c r="M32" i="1004"/>
  <c r="L9" i="1004"/>
  <c r="L15" i="1004"/>
  <c r="L17" i="1004"/>
  <c r="L23" i="1004"/>
  <c r="L24" i="1004"/>
  <c r="L26" i="1004"/>
  <c r="L30" i="1004"/>
  <c r="L34" i="1004"/>
  <c r="K11" i="1004"/>
  <c r="K17" i="1004"/>
  <c r="K19" i="1004"/>
  <c r="K24" i="1004"/>
  <c r="K27" i="1004"/>
  <c r="K33" i="1004"/>
  <c r="K35" i="1004"/>
  <c r="J10" i="1004"/>
  <c r="J12" i="1004"/>
  <c r="J16" i="1004"/>
  <c r="J18" i="1004"/>
  <c r="J20" i="1004"/>
  <c r="J28" i="1004"/>
  <c r="J30" i="1004"/>
  <c r="J34" i="1004"/>
  <c r="J36" i="1004"/>
  <c r="I15" i="1004"/>
  <c r="I17" i="1004"/>
  <c r="I19" i="1004"/>
  <c r="I25" i="1004"/>
  <c r="I29" i="1004"/>
  <c r="I30" i="1004"/>
  <c r="I33" i="1004"/>
  <c r="H8" i="1004"/>
  <c r="H16" i="1004"/>
  <c r="H18" i="1004"/>
  <c r="H21" i="1004"/>
  <c r="H22" i="1004"/>
  <c r="H26" i="1004"/>
  <c r="H31" i="1004"/>
  <c r="H32" i="1004"/>
  <c r="H34" i="1004"/>
  <c r="H38" i="1004"/>
  <c r="E40" i="1000"/>
  <c r="G10" i="1004"/>
  <c r="G12" i="1004"/>
  <c r="G18" i="1004"/>
  <c r="G19" i="1004"/>
  <c r="G20" i="1004"/>
  <c r="G26" i="1004"/>
  <c r="G28" i="1004"/>
  <c r="G37" i="1004"/>
  <c r="E8" i="1004"/>
  <c r="E15" i="1004"/>
  <c r="E16" i="1004"/>
  <c r="E18" i="1004"/>
  <c r="E22" i="1004"/>
  <c r="E24" i="1004"/>
  <c r="E31" i="1004"/>
  <c r="E32" i="1004"/>
  <c r="E34" i="1004"/>
  <c r="E35" i="1004"/>
  <c r="D11" i="1004"/>
  <c r="D19" i="1004"/>
  <c r="D22" i="1004"/>
  <c r="D23" i="1004"/>
  <c r="D24" i="1004"/>
  <c r="D27" i="1004"/>
  <c r="D30" i="1004"/>
  <c r="D31" i="1004"/>
  <c r="D32" i="1004"/>
  <c r="D33" i="1004"/>
  <c r="D35" i="1004"/>
  <c r="D38" i="1004"/>
  <c r="C13" i="1004"/>
  <c r="C14" i="1004"/>
  <c r="C15" i="1004"/>
  <c r="C22" i="1004"/>
  <c r="C23" i="1004"/>
  <c r="C30" i="1004"/>
  <c r="C32" i="1004"/>
  <c r="C38" i="1004"/>
  <c r="B38" i="1004"/>
  <c r="A38" i="1004"/>
  <c r="B37" i="1004"/>
  <c r="A37" i="1004"/>
  <c r="H36" i="1004"/>
  <c r="B36" i="1004"/>
  <c r="A36" i="1004"/>
  <c r="B35" i="1004"/>
  <c r="A35" i="1004"/>
  <c r="B34" i="1004"/>
  <c r="A34" i="1004"/>
  <c r="B33" i="1004"/>
  <c r="A33" i="1004"/>
  <c r="B32" i="1004"/>
  <c r="A32" i="1004"/>
  <c r="B31" i="1004"/>
  <c r="A31" i="1004"/>
  <c r="B30" i="1004"/>
  <c r="A30" i="1004"/>
  <c r="B29" i="1004"/>
  <c r="A29" i="1004"/>
  <c r="B28" i="1004"/>
  <c r="A28" i="1004"/>
  <c r="B27" i="1004"/>
  <c r="A27" i="1004"/>
  <c r="B26" i="1004"/>
  <c r="A26" i="1004"/>
  <c r="B25" i="1004"/>
  <c r="A25" i="1004"/>
  <c r="B24" i="1004"/>
  <c r="A24" i="1004"/>
  <c r="B23" i="1004"/>
  <c r="A23" i="1004"/>
  <c r="B22" i="1004"/>
  <c r="A22" i="1004"/>
  <c r="N21" i="1004"/>
  <c r="B21" i="1004"/>
  <c r="A21" i="1004"/>
  <c r="B20" i="1004"/>
  <c r="A20" i="1004"/>
  <c r="B19" i="1004"/>
  <c r="A19" i="1004"/>
  <c r="B18" i="1004"/>
  <c r="A18" i="1004"/>
  <c r="B17" i="1004"/>
  <c r="A17" i="1004"/>
  <c r="B16" i="1004"/>
  <c r="A16" i="1004"/>
  <c r="B15" i="1004"/>
  <c r="A15" i="1004"/>
  <c r="B14" i="1004"/>
  <c r="A14" i="1004"/>
  <c r="B13" i="1004"/>
  <c r="A13" i="1004"/>
  <c r="B12" i="1004"/>
  <c r="A12" i="1004"/>
  <c r="B11" i="1004"/>
  <c r="A11" i="1004"/>
  <c r="B10" i="1004"/>
  <c r="A10" i="1004"/>
  <c r="E9" i="1004"/>
  <c r="B9" i="1004"/>
  <c r="A9" i="1004"/>
  <c r="B8" i="1004"/>
  <c r="A8" i="1004"/>
  <c r="F43" i="1003" a="1"/>
  <c r="F43" i="1003" s="1"/>
  <c r="A43" i="1003"/>
  <c r="L42" i="1003"/>
  <c r="F42" i="1003"/>
  <c r="A42" i="1003"/>
  <c r="A37" i="1003"/>
  <c r="I37" i="1003"/>
  <c r="G37" i="1003"/>
  <c r="M38" i="1004"/>
  <c r="D37" i="1003"/>
  <c r="B37" i="1003"/>
  <c r="N37" i="1004"/>
  <c r="I36" i="1003"/>
  <c r="G36" i="1003"/>
  <c r="D36" i="1003"/>
  <c r="B36" i="1003"/>
  <c r="A36" i="1003"/>
  <c r="I35" i="1003"/>
  <c r="G35" i="1003"/>
  <c r="M36" i="1004"/>
  <c r="D35" i="1003"/>
  <c r="B35" i="1003"/>
  <c r="A35" i="1003"/>
  <c r="N35" i="1004"/>
  <c r="I34" i="1003"/>
  <c r="G34" i="1003"/>
  <c r="D34" i="1003"/>
  <c r="B34" i="1003"/>
  <c r="A34" i="1003"/>
  <c r="N34" i="1004"/>
  <c r="I33" i="1003"/>
  <c r="G33" i="1003"/>
  <c r="D33" i="1003"/>
  <c r="B33" i="1003"/>
  <c r="A33" i="1003"/>
  <c r="I32" i="1003"/>
  <c r="G32" i="1003"/>
  <c r="B32" i="1003"/>
  <c r="A32" i="1003"/>
  <c r="I31" i="1003"/>
  <c r="G31" i="1003"/>
  <c r="D31" i="1003"/>
  <c r="B31" i="1003"/>
  <c r="A31" i="1003"/>
  <c r="I30" i="1003"/>
  <c r="G30" i="1003"/>
  <c r="D30" i="1003"/>
  <c r="B30" i="1003"/>
  <c r="A30" i="1003"/>
  <c r="N30" i="1004"/>
  <c r="I29" i="1003"/>
  <c r="G29" i="1003"/>
  <c r="M30" i="1004"/>
  <c r="D29" i="1003"/>
  <c r="B29" i="1003"/>
  <c r="A29" i="1003"/>
  <c r="N29" i="1004"/>
  <c r="I28" i="1003"/>
  <c r="G28" i="1003"/>
  <c r="D28" i="1003"/>
  <c r="B28" i="1003"/>
  <c r="A28" i="1003"/>
  <c r="I27" i="1003"/>
  <c r="G27" i="1003"/>
  <c r="M28" i="1004"/>
  <c r="D27" i="1003"/>
  <c r="B27" i="1003"/>
  <c r="A27" i="1003"/>
  <c r="N27" i="1004"/>
  <c r="I26" i="1003"/>
  <c r="G26" i="1003"/>
  <c r="M27" i="1004"/>
  <c r="D26" i="1003"/>
  <c r="B26" i="1003"/>
  <c r="A26" i="1003"/>
  <c r="I25" i="1003"/>
  <c r="G25" i="1003"/>
  <c r="D25" i="1003"/>
  <c r="B25" i="1003"/>
  <c r="A25" i="1003"/>
  <c r="I24" i="1003"/>
  <c r="G24" i="1003"/>
  <c r="D24" i="1003"/>
  <c r="B24" i="1003"/>
  <c r="A24" i="1003"/>
  <c r="I23" i="1003"/>
  <c r="G23" i="1003"/>
  <c r="D23" i="1003"/>
  <c r="B23" i="1003"/>
  <c r="A23" i="1003"/>
  <c r="I22" i="1003"/>
  <c r="G22" i="1003"/>
  <c r="D22" i="1003"/>
  <c r="B22" i="1003"/>
  <c r="A22" i="1003"/>
  <c r="I21" i="1003"/>
  <c r="G21" i="1003"/>
  <c r="B21" i="1003"/>
  <c r="A21" i="1003"/>
  <c r="I20" i="1003"/>
  <c r="G20" i="1003"/>
  <c r="D20" i="1003"/>
  <c r="B20" i="1003"/>
  <c r="A20" i="1003"/>
  <c r="N20" i="1004"/>
  <c r="I19" i="1003"/>
  <c r="G19" i="1003"/>
  <c r="D19" i="1003"/>
  <c r="B19" i="1003"/>
  <c r="A19" i="1003"/>
  <c r="N19" i="1004"/>
  <c r="I18" i="1003"/>
  <c r="G18" i="1003"/>
  <c r="D18" i="1003"/>
  <c r="B18" i="1003"/>
  <c r="A18" i="1003"/>
  <c r="N18" i="1004"/>
  <c r="G17" i="1003"/>
  <c r="I17" i="1003"/>
  <c r="D17" i="1003"/>
  <c r="B17" i="1003"/>
  <c r="A17" i="1003"/>
  <c r="I16" i="1003"/>
  <c r="G16" i="1003"/>
  <c r="B16" i="1003"/>
  <c r="A16" i="1003"/>
  <c r="N16" i="1004"/>
  <c r="I15" i="1003"/>
  <c r="G15" i="1003"/>
  <c r="D15" i="1003"/>
  <c r="B15" i="1003"/>
  <c r="A15" i="1003"/>
  <c r="N15" i="1004"/>
  <c r="I14" i="1003"/>
  <c r="M15" i="1004"/>
  <c r="D14" i="1003"/>
  <c r="B14" i="1003"/>
  <c r="A14" i="1003"/>
  <c r="I13" i="1003"/>
  <c r="G13" i="1003"/>
  <c r="M14" i="1004"/>
  <c r="D13" i="1003"/>
  <c r="B13" i="1003"/>
  <c r="A13" i="1003"/>
  <c r="I12" i="1003"/>
  <c r="G12" i="1003"/>
  <c r="D12" i="1003"/>
  <c r="B12" i="1003"/>
  <c r="A12" i="1003"/>
  <c r="I11" i="1003"/>
  <c r="M12" i="1004"/>
  <c r="D11" i="1003"/>
  <c r="B11" i="1003"/>
  <c r="A11" i="1003"/>
  <c r="I10" i="1003"/>
  <c r="G10" i="1003"/>
  <c r="D10" i="1003"/>
  <c r="B10" i="1003"/>
  <c r="A10" i="1003"/>
  <c r="I9" i="1003"/>
  <c r="G9" i="1003"/>
  <c r="D9" i="1003"/>
  <c r="B9" i="1003"/>
  <c r="A9" i="1003"/>
  <c r="I8" i="1003"/>
  <c r="G8" i="1003"/>
  <c r="D8" i="1003"/>
  <c r="B8" i="1003"/>
  <c r="A8" i="1003"/>
  <c r="I7" i="1003"/>
  <c r="G7" i="1003"/>
  <c r="D7" i="1003"/>
  <c r="B7" i="1003"/>
  <c r="A7" i="1003"/>
  <c r="F3" i="1003"/>
  <c r="A5" i="1003" s="1"/>
  <c r="F43" i="1002" a="1"/>
  <c r="F43" i="1002" s="1"/>
  <c r="A43" i="1002"/>
  <c r="L42" i="1002"/>
  <c r="F42" i="1002"/>
  <c r="A42" i="1002"/>
  <c r="I37" i="1002"/>
  <c r="G37" i="1002"/>
  <c r="D37" i="1002"/>
  <c r="B37" i="1002"/>
  <c r="A37" i="1002"/>
  <c r="I36" i="1002"/>
  <c r="G36" i="1002"/>
  <c r="D36" i="1002"/>
  <c r="B36" i="1002"/>
  <c r="A36" i="1002"/>
  <c r="I35" i="1002"/>
  <c r="G35" i="1002"/>
  <c r="K36" i="1004"/>
  <c r="D35" i="1002"/>
  <c r="B35" i="1002"/>
  <c r="A35" i="1002"/>
  <c r="L35" i="1004"/>
  <c r="I34" i="1002"/>
  <c r="G34" i="1002"/>
  <c r="D34" i="1002"/>
  <c r="B34" i="1002"/>
  <c r="A34" i="1002"/>
  <c r="I33" i="1002"/>
  <c r="G33" i="1002"/>
  <c r="K34" i="1004"/>
  <c r="D33" i="1002"/>
  <c r="B33" i="1002"/>
  <c r="A33" i="1002"/>
  <c r="L33" i="1004"/>
  <c r="I32" i="1002"/>
  <c r="G32" i="1002"/>
  <c r="D32" i="1002"/>
  <c r="B32" i="1002"/>
  <c r="A32" i="1002"/>
  <c r="L32" i="1004"/>
  <c r="I31" i="1002"/>
  <c r="G31" i="1002"/>
  <c r="D31" i="1002"/>
  <c r="B31" i="1002"/>
  <c r="A31" i="1002"/>
  <c r="I30" i="1002"/>
  <c r="G30" i="1002"/>
  <c r="D30" i="1002"/>
  <c r="B30" i="1002"/>
  <c r="A30" i="1002"/>
  <c r="I29" i="1002"/>
  <c r="G29" i="1002"/>
  <c r="D29" i="1002"/>
  <c r="B29" i="1002"/>
  <c r="A29" i="1002"/>
  <c r="I28" i="1002"/>
  <c r="G28" i="1002"/>
  <c r="D28" i="1002"/>
  <c r="B28" i="1002"/>
  <c r="A28" i="1002"/>
  <c r="I27" i="1002"/>
  <c r="G27" i="1002"/>
  <c r="K28" i="1004"/>
  <c r="D27" i="1002"/>
  <c r="B27" i="1002"/>
  <c r="A27" i="1002"/>
  <c r="L27" i="1004"/>
  <c r="I26" i="1002"/>
  <c r="G26" i="1002"/>
  <c r="D26" i="1002"/>
  <c r="B26" i="1002"/>
  <c r="A26" i="1002"/>
  <c r="I25" i="1002"/>
  <c r="G25" i="1002"/>
  <c r="K26" i="1004"/>
  <c r="D25" i="1002"/>
  <c r="B25" i="1002"/>
  <c r="A25" i="1002"/>
  <c r="L25" i="1004"/>
  <c r="I24" i="1002"/>
  <c r="G24" i="1002"/>
  <c r="D24" i="1002"/>
  <c r="B24" i="1002"/>
  <c r="A24" i="1002"/>
  <c r="I23" i="1002"/>
  <c r="G23" i="1002"/>
  <c r="D23" i="1002"/>
  <c r="B23" i="1002"/>
  <c r="A23" i="1002"/>
  <c r="I22" i="1002"/>
  <c r="G22" i="1002"/>
  <c r="D22" i="1002"/>
  <c r="B22" i="1002"/>
  <c r="A22" i="1002"/>
  <c r="I21" i="1002"/>
  <c r="G21" i="1002"/>
  <c r="D21" i="1002"/>
  <c r="B21" i="1002"/>
  <c r="A21" i="1002"/>
  <c r="I20" i="1002"/>
  <c r="G20" i="1002"/>
  <c r="D20" i="1002"/>
  <c r="B20" i="1002"/>
  <c r="A20" i="1002"/>
  <c r="I19" i="1002"/>
  <c r="G19" i="1002"/>
  <c r="K20" i="1004"/>
  <c r="D19" i="1002"/>
  <c r="B19" i="1002"/>
  <c r="A19" i="1002"/>
  <c r="L19" i="1004"/>
  <c r="I18" i="1002"/>
  <c r="G18" i="1002"/>
  <c r="D18" i="1002"/>
  <c r="B18" i="1002"/>
  <c r="A18" i="1002"/>
  <c r="L18" i="1004"/>
  <c r="I17" i="1002"/>
  <c r="G17" i="1002"/>
  <c r="K18" i="1004"/>
  <c r="B17" i="1002"/>
  <c r="A17" i="1002"/>
  <c r="I16" i="1002"/>
  <c r="G16" i="1002"/>
  <c r="D16" i="1002"/>
  <c r="B16" i="1002"/>
  <c r="A16" i="1002"/>
  <c r="L16" i="1004"/>
  <c r="I15" i="1002"/>
  <c r="G15" i="1002"/>
  <c r="D15" i="1002"/>
  <c r="B15" i="1002"/>
  <c r="A15" i="1002"/>
  <c r="I14" i="1002"/>
  <c r="G14" i="1002"/>
  <c r="D14" i="1002"/>
  <c r="B14" i="1002"/>
  <c r="A14" i="1002"/>
  <c r="I13" i="1002"/>
  <c r="G13" i="1002"/>
  <c r="D13" i="1002"/>
  <c r="B13" i="1002"/>
  <c r="A13" i="1002"/>
  <c r="I12" i="1002"/>
  <c r="G12" i="1002"/>
  <c r="D12" i="1002"/>
  <c r="B12" i="1002"/>
  <c r="A12" i="1002"/>
  <c r="I11" i="1002"/>
  <c r="G11" i="1002"/>
  <c r="K12" i="1004"/>
  <c r="D11" i="1002"/>
  <c r="B11" i="1002"/>
  <c r="A11" i="1002"/>
  <c r="I10" i="1002"/>
  <c r="G10" i="1002"/>
  <c r="D10" i="1002"/>
  <c r="B10" i="1002"/>
  <c r="A10" i="1002"/>
  <c r="I9" i="1002"/>
  <c r="G9" i="1002"/>
  <c r="K10" i="1004"/>
  <c r="D9" i="1002"/>
  <c r="B9" i="1002"/>
  <c r="A9" i="1002"/>
  <c r="I8" i="1002"/>
  <c r="G8" i="1002"/>
  <c r="K9" i="1004"/>
  <c r="D8" i="1002"/>
  <c r="B8" i="1002"/>
  <c r="A8" i="1002"/>
  <c r="I7" i="1002"/>
  <c r="G7" i="1002"/>
  <c r="D7" i="1002"/>
  <c r="B7" i="1002"/>
  <c r="A7" i="1002"/>
  <c r="F3" i="1002"/>
  <c r="M44" i="1002" s="1"/>
  <c r="F43" i="1001" a="1"/>
  <c r="F43" i="1001" s="1"/>
  <c r="A43" i="1001"/>
  <c r="L42" i="1001"/>
  <c r="F42" i="1001"/>
  <c r="A42" i="1001"/>
  <c r="I37" i="1001"/>
  <c r="G37" i="1001"/>
  <c r="D37" i="1001"/>
  <c r="B37" i="1001"/>
  <c r="A37" i="1001"/>
  <c r="J37" i="1004"/>
  <c r="I36" i="1001"/>
  <c r="G36" i="1001"/>
  <c r="D36" i="1001"/>
  <c r="B36" i="1001"/>
  <c r="A36" i="1001"/>
  <c r="I35" i="1001"/>
  <c r="G35" i="1001"/>
  <c r="D35" i="1001"/>
  <c r="B35" i="1001"/>
  <c r="A35" i="1001"/>
  <c r="J35" i="1004"/>
  <c r="I34" i="1001"/>
  <c r="G34" i="1001"/>
  <c r="D34" i="1001"/>
  <c r="B34" i="1001"/>
  <c r="A34" i="1001"/>
  <c r="I33" i="1001"/>
  <c r="G33" i="1001"/>
  <c r="I34" i="1004"/>
  <c r="D33" i="1001"/>
  <c r="B33" i="1001"/>
  <c r="A33" i="1001"/>
  <c r="I32" i="1001"/>
  <c r="G32" i="1001"/>
  <c r="D32" i="1001"/>
  <c r="B32" i="1001"/>
  <c r="A32" i="1001"/>
  <c r="I31" i="1001"/>
  <c r="G31" i="1001"/>
  <c r="D31" i="1001"/>
  <c r="B31" i="1001"/>
  <c r="A31" i="1001"/>
  <c r="I30" i="1001"/>
  <c r="G30" i="1001"/>
  <c r="D30" i="1001"/>
  <c r="B30" i="1001"/>
  <c r="A30" i="1001"/>
  <c r="I29" i="1001"/>
  <c r="G29" i="1001"/>
  <c r="D29" i="1001"/>
  <c r="B29" i="1001"/>
  <c r="A29" i="1001"/>
  <c r="J29" i="1004"/>
  <c r="I28" i="1001"/>
  <c r="G28" i="1001"/>
  <c r="D28" i="1001"/>
  <c r="B28" i="1001"/>
  <c r="A28" i="1001"/>
  <c r="I27" i="1001"/>
  <c r="G27" i="1001"/>
  <c r="D27" i="1001"/>
  <c r="B27" i="1001"/>
  <c r="A27" i="1001"/>
  <c r="I26" i="1001"/>
  <c r="G26" i="1001"/>
  <c r="D26" i="1001"/>
  <c r="B26" i="1001"/>
  <c r="A26" i="1001"/>
  <c r="I25" i="1001"/>
  <c r="G25" i="1001"/>
  <c r="I26" i="1004"/>
  <c r="D25" i="1001"/>
  <c r="B25" i="1001"/>
  <c r="A25" i="1001"/>
  <c r="I24" i="1001"/>
  <c r="G24" i="1001"/>
  <c r="D24" i="1001"/>
  <c r="B24" i="1001"/>
  <c r="A24" i="1001"/>
  <c r="I23" i="1001"/>
  <c r="G23" i="1001"/>
  <c r="I24" i="1004"/>
  <c r="D23" i="1001"/>
  <c r="B23" i="1001"/>
  <c r="A23" i="1001"/>
  <c r="I22" i="1001"/>
  <c r="G22" i="1001"/>
  <c r="D22" i="1001"/>
  <c r="B22" i="1001"/>
  <c r="A22" i="1001"/>
  <c r="I21" i="1001"/>
  <c r="G21" i="1001"/>
  <c r="D21" i="1001"/>
  <c r="B21" i="1001"/>
  <c r="A21" i="1001"/>
  <c r="J21" i="1004"/>
  <c r="I20" i="1001"/>
  <c r="G20" i="1001"/>
  <c r="D20" i="1001"/>
  <c r="B20" i="1001"/>
  <c r="A20" i="1001"/>
  <c r="I19" i="1001"/>
  <c r="G19" i="1001"/>
  <c r="D19" i="1001"/>
  <c r="B19" i="1001"/>
  <c r="A19" i="1001"/>
  <c r="J19" i="1004"/>
  <c r="I18" i="1001"/>
  <c r="G18" i="1001"/>
  <c r="D18" i="1001"/>
  <c r="B18" i="1001"/>
  <c r="A18" i="1001"/>
  <c r="I17" i="1001"/>
  <c r="G17" i="1001"/>
  <c r="D17" i="1001"/>
  <c r="B17" i="1001"/>
  <c r="A17" i="1001"/>
  <c r="I16" i="1001"/>
  <c r="G16" i="1001"/>
  <c r="D16" i="1001"/>
  <c r="B16" i="1001"/>
  <c r="A16" i="1001"/>
  <c r="I15" i="1001"/>
  <c r="G15" i="1001"/>
  <c r="D15" i="1001"/>
  <c r="B15" i="1001"/>
  <c r="A15" i="1001"/>
  <c r="I14" i="1001"/>
  <c r="G14" i="1001"/>
  <c r="D14" i="1001"/>
  <c r="B14" i="1001"/>
  <c r="A14" i="1001"/>
  <c r="I13" i="1001"/>
  <c r="G13" i="1001"/>
  <c r="D13" i="1001"/>
  <c r="B13" i="1001"/>
  <c r="A13" i="1001"/>
  <c r="J13" i="1004"/>
  <c r="I12" i="1001"/>
  <c r="G12" i="1001"/>
  <c r="D12" i="1001"/>
  <c r="B12" i="1001"/>
  <c r="A12" i="1001"/>
  <c r="I11" i="1001"/>
  <c r="G11" i="1001"/>
  <c r="D11" i="1001"/>
  <c r="B11" i="1001"/>
  <c r="A11" i="1001"/>
  <c r="J11" i="1004"/>
  <c r="I10" i="1001"/>
  <c r="G10" i="1001"/>
  <c r="D10" i="1001"/>
  <c r="B10" i="1001"/>
  <c r="A10" i="1001"/>
  <c r="I9" i="1001"/>
  <c r="G9" i="1001"/>
  <c r="I10" i="1004"/>
  <c r="D9" i="1001"/>
  <c r="B9" i="1001"/>
  <c r="A9" i="1001"/>
  <c r="I8" i="1001"/>
  <c r="G8" i="1001"/>
  <c r="D8" i="1001"/>
  <c r="B8" i="1001"/>
  <c r="A8" i="1001"/>
  <c r="I7" i="1001"/>
  <c r="G7" i="1001"/>
  <c r="I8" i="1004"/>
  <c r="D7" i="1001"/>
  <c r="B7" i="1001"/>
  <c r="A7" i="1001"/>
  <c r="F3" i="1001"/>
  <c r="M44" i="1001" s="1"/>
  <c r="F43" i="1000" a="1"/>
  <c r="F43" i="1000" s="1"/>
  <c r="A43" i="1000"/>
  <c r="L42" i="1000"/>
  <c r="F42" i="1000"/>
  <c r="A42" i="1000"/>
  <c r="I37" i="1000"/>
  <c r="G37" i="1000"/>
  <c r="D37" i="1000"/>
  <c r="B37" i="1000"/>
  <c r="A37" i="1000"/>
  <c r="I36" i="1000"/>
  <c r="G36" i="1000"/>
  <c r="D36" i="1000"/>
  <c r="B36" i="1000"/>
  <c r="A36" i="1000"/>
  <c r="I35" i="1000"/>
  <c r="G35" i="1000"/>
  <c r="D35" i="1000"/>
  <c r="B35" i="1000"/>
  <c r="A35" i="1000"/>
  <c r="I34" i="1000"/>
  <c r="G34" i="1000"/>
  <c r="G35" i="1004"/>
  <c r="D34" i="1000"/>
  <c r="B34" i="1000"/>
  <c r="A34" i="1000"/>
  <c r="I33" i="1000"/>
  <c r="G33" i="1000"/>
  <c r="D33" i="1000"/>
  <c r="B33" i="1000"/>
  <c r="A33" i="1000"/>
  <c r="I32" i="1000"/>
  <c r="G32" i="1000"/>
  <c r="D32" i="1000"/>
  <c r="B32" i="1000"/>
  <c r="A32" i="1000"/>
  <c r="I31" i="1000"/>
  <c r="G31" i="1000"/>
  <c r="D31" i="1000"/>
  <c r="B31" i="1000"/>
  <c r="A31" i="1000"/>
  <c r="I30" i="1000"/>
  <c r="G30" i="1000"/>
  <c r="D30" i="1000"/>
  <c r="B30" i="1000"/>
  <c r="A30" i="1000"/>
  <c r="I29" i="1000"/>
  <c r="G29" i="1000"/>
  <c r="D29" i="1000"/>
  <c r="B29" i="1000"/>
  <c r="A29" i="1000"/>
  <c r="I28" i="1000"/>
  <c r="G28" i="1000"/>
  <c r="D28" i="1000"/>
  <c r="B28" i="1000"/>
  <c r="A28" i="1000"/>
  <c r="I27" i="1000"/>
  <c r="G27" i="1000"/>
  <c r="D27" i="1000"/>
  <c r="B27" i="1000"/>
  <c r="A27" i="1000"/>
  <c r="I26" i="1000"/>
  <c r="G26" i="1000"/>
  <c r="G27" i="1004"/>
  <c r="D26" i="1000"/>
  <c r="B26" i="1000"/>
  <c r="A26" i="1000"/>
  <c r="I25" i="1000"/>
  <c r="G25" i="1000"/>
  <c r="D25" i="1000"/>
  <c r="B25" i="1000"/>
  <c r="A25" i="1000"/>
  <c r="I24" i="1000"/>
  <c r="G24" i="1000"/>
  <c r="D24" i="1000"/>
  <c r="B24" i="1000"/>
  <c r="A24" i="1000"/>
  <c r="I23" i="1000"/>
  <c r="G23" i="1000"/>
  <c r="D23" i="1000"/>
  <c r="B23" i="1000"/>
  <c r="A23" i="1000"/>
  <c r="I22" i="1000"/>
  <c r="G22" i="1000"/>
  <c r="D22" i="1000"/>
  <c r="B22" i="1000"/>
  <c r="A22" i="1000"/>
  <c r="I21" i="1000"/>
  <c r="G21" i="1000"/>
  <c r="G22" i="1004"/>
  <c r="D21" i="1000"/>
  <c r="B21" i="1000"/>
  <c r="A21" i="1000"/>
  <c r="I20" i="1000"/>
  <c r="G20" i="1000"/>
  <c r="G21" i="1004"/>
  <c r="B20" i="1000"/>
  <c r="A20" i="1000"/>
  <c r="I19" i="1000"/>
  <c r="G19" i="1000"/>
  <c r="D19" i="1000"/>
  <c r="B19" i="1000"/>
  <c r="A19" i="1000"/>
  <c r="H19" i="1004"/>
  <c r="I18" i="1000"/>
  <c r="G18" i="1000"/>
  <c r="B18" i="1000"/>
  <c r="A18" i="1000"/>
  <c r="I17" i="1000"/>
  <c r="G17" i="1000"/>
  <c r="D17" i="1000"/>
  <c r="B17" i="1000"/>
  <c r="A17" i="1000"/>
  <c r="I16" i="1000"/>
  <c r="G16" i="1000"/>
  <c r="D16" i="1000"/>
  <c r="B16" i="1000"/>
  <c r="A16" i="1000"/>
  <c r="I15" i="1000"/>
  <c r="G15" i="1000"/>
  <c r="D15" i="1000"/>
  <c r="B15" i="1000"/>
  <c r="A15" i="1000"/>
  <c r="I14" i="1000"/>
  <c r="G14" i="1000"/>
  <c r="D14" i="1000"/>
  <c r="B14" i="1000"/>
  <c r="A14" i="1000"/>
  <c r="I13" i="1000"/>
  <c r="G13" i="1000"/>
  <c r="D13" i="1000"/>
  <c r="B13" i="1000"/>
  <c r="A13" i="1000"/>
  <c r="I12" i="1000"/>
  <c r="G12" i="1000"/>
  <c r="G13" i="1004"/>
  <c r="D12" i="1000"/>
  <c r="B12" i="1000"/>
  <c r="A12" i="1000"/>
  <c r="I11" i="1000"/>
  <c r="G11" i="1000"/>
  <c r="D11" i="1000"/>
  <c r="B11" i="1000"/>
  <c r="A11" i="1000"/>
  <c r="H11" i="1004"/>
  <c r="I10" i="1000"/>
  <c r="G10" i="1000"/>
  <c r="D10" i="1000"/>
  <c r="B10" i="1000"/>
  <c r="A10" i="1000"/>
  <c r="I9" i="1000"/>
  <c r="G9" i="1000"/>
  <c r="D9" i="1000"/>
  <c r="B9" i="1000"/>
  <c r="A9" i="1000"/>
  <c r="H9" i="1004"/>
  <c r="I8" i="1000"/>
  <c r="G8" i="1000"/>
  <c r="D8" i="1000"/>
  <c r="B8" i="1000"/>
  <c r="A8" i="1000"/>
  <c r="I7" i="1000"/>
  <c r="G7" i="1000"/>
  <c r="D7" i="1000"/>
  <c r="B7" i="1000"/>
  <c r="A7" i="1000"/>
  <c r="F3" i="1000"/>
  <c r="F43" i="999" a="1"/>
  <c r="F43" i="999" s="1"/>
  <c r="A43" i="999"/>
  <c r="N42" i="999"/>
  <c r="F42" i="999"/>
  <c r="A42" i="999"/>
  <c r="M37" i="999"/>
  <c r="F38" i="1004" s="1"/>
  <c r="I37" i="999"/>
  <c r="G37" i="999"/>
  <c r="D37" i="999"/>
  <c r="B37" i="999"/>
  <c r="A37" i="999"/>
  <c r="M36" i="999"/>
  <c r="F37" i="1004" s="1"/>
  <c r="I36" i="999"/>
  <c r="G36" i="999"/>
  <c r="E37" i="1004"/>
  <c r="D36" i="999"/>
  <c r="B36" i="999"/>
  <c r="A36" i="999"/>
  <c r="M35" i="999"/>
  <c r="F36" i="1004" s="1"/>
  <c r="I35" i="999"/>
  <c r="G35" i="999"/>
  <c r="D35" i="999"/>
  <c r="B35" i="999"/>
  <c r="A35" i="999"/>
  <c r="M34" i="999"/>
  <c r="F35" i="1004" s="1"/>
  <c r="I34" i="999"/>
  <c r="G34" i="999"/>
  <c r="D34" i="999"/>
  <c r="B34" i="999"/>
  <c r="A34" i="999"/>
  <c r="M33" i="999"/>
  <c r="F34" i="1004" s="1"/>
  <c r="I33" i="999"/>
  <c r="G33" i="999"/>
  <c r="D33" i="999"/>
  <c r="B33" i="999"/>
  <c r="A33" i="999"/>
  <c r="M32" i="999"/>
  <c r="F33" i="1004" s="1"/>
  <c r="I32" i="999"/>
  <c r="G32" i="999"/>
  <c r="E33" i="1004"/>
  <c r="D32" i="999"/>
  <c r="B32" i="999"/>
  <c r="A32" i="999"/>
  <c r="M31" i="999"/>
  <c r="F32" i="1004" s="1"/>
  <c r="I31" i="999"/>
  <c r="G31" i="999"/>
  <c r="D31" i="999"/>
  <c r="B31" i="999"/>
  <c r="A31" i="999"/>
  <c r="M30" i="999"/>
  <c r="I30" i="999"/>
  <c r="G30" i="999"/>
  <c r="D30" i="999"/>
  <c r="B30" i="999"/>
  <c r="A30" i="999"/>
  <c r="M29" i="999"/>
  <c r="I29" i="999"/>
  <c r="G29" i="999"/>
  <c r="E30" i="1004"/>
  <c r="D29" i="999"/>
  <c r="B29" i="999"/>
  <c r="A29" i="999"/>
  <c r="M28" i="999"/>
  <c r="F29" i="1004" s="1"/>
  <c r="I28" i="999"/>
  <c r="G28" i="999"/>
  <c r="D28" i="999"/>
  <c r="B28" i="999"/>
  <c r="A28" i="999"/>
  <c r="M27" i="999"/>
  <c r="I27" i="999"/>
  <c r="G27" i="999"/>
  <c r="D27" i="999"/>
  <c r="B27" i="999"/>
  <c r="A27" i="999"/>
  <c r="M26" i="999"/>
  <c r="I26" i="999"/>
  <c r="G26" i="999"/>
  <c r="D26" i="999"/>
  <c r="B26" i="999"/>
  <c r="A26" i="999"/>
  <c r="M25" i="999"/>
  <c r="F26" i="1004" s="1"/>
  <c r="I25" i="999"/>
  <c r="G25" i="999"/>
  <c r="D25" i="999"/>
  <c r="B25" i="999"/>
  <c r="A25" i="999"/>
  <c r="M24" i="999"/>
  <c r="F25" i="1004" s="1"/>
  <c r="I24" i="999"/>
  <c r="G24" i="999"/>
  <c r="E25" i="1004"/>
  <c r="D24" i="999"/>
  <c r="B24" i="999"/>
  <c r="A24" i="999"/>
  <c r="M23" i="999"/>
  <c r="F24" i="1004" s="1"/>
  <c r="I23" i="999"/>
  <c r="G23" i="999"/>
  <c r="D23" i="999"/>
  <c r="B23" i="999"/>
  <c r="A23" i="999"/>
  <c r="M22" i="999"/>
  <c r="F23" i="1004" s="1"/>
  <c r="I22" i="999"/>
  <c r="G22" i="999"/>
  <c r="D22" i="999"/>
  <c r="B22" i="999"/>
  <c r="A22" i="999"/>
  <c r="M21" i="999"/>
  <c r="I21" i="999"/>
  <c r="G21" i="999"/>
  <c r="D21" i="999"/>
  <c r="B21" i="999"/>
  <c r="A21" i="999"/>
  <c r="M20" i="999"/>
  <c r="I20" i="999"/>
  <c r="G20" i="999"/>
  <c r="D20" i="999"/>
  <c r="B20" i="999"/>
  <c r="A20" i="999"/>
  <c r="M19" i="999"/>
  <c r="F20" i="1004" s="1"/>
  <c r="I19" i="999"/>
  <c r="G19" i="999"/>
  <c r="D19" i="999"/>
  <c r="B19" i="999"/>
  <c r="A19" i="999"/>
  <c r="M18" i="999"/>
  <c r="F19" i="1004" s="1"/>
  <c r="I18" i="999"/>
  <c r="G18" i="999"/>
  <c r="D18" i="999"/>
  <c r="B18" i="999"/>
  <c r="A18" i="999"/>
  <c r="M17" i="999"/>
  <c r="F18" i="1004" s="1"/>
  <c r="I17" i="999"/>
  <c r="G17" i="999"/>
  <c r="D17" i="999"/>
  <c r="B17" i="999"/>
  <c r="A17" i="999"/>
  <c r="M16" i="999"/>
  <c r="F17" i="1004" s="1"/>
  <c r="I16" i="999"/>
  <c r="G16" i="999"/>
  <c r="E17" i="1004"/>
  <c r="D16" i="999"/>
  <c r="B16" i="999"/>
  <c r="A16" i="999"/>
  <c r="M15" i="999"/>
  <c r="F16" i="1004" s="1"/>
  <c r="I15" i="999"/>
  <c r="G15" i="999"/>
  <c r="D15" i="999"/>
  <c r="B15" i="999"/>
  <c r="A15" i="999"/>
  <c r="M14" i="999"/>
  <c r="F15" i="1004" s="1"/>
  <c r="I14" i="999"/>
  <c r="G14" i="999"/>
  <c r="D14" i="999"/>
  <c r="B14" i="999"/>
  <c r="A14" i="999"/>
  <c r="M13" i="999"/>
  <c r="F14" i="1004" s="1"/>
  <c r="I13" i="999"/>
  <c r="G13" i="999"/>
  <c r="E14" i="1004"/>
  <c r="D13" i="999"/>
  <c r="B13" i="999"/>
  <c r="A13" i="999"/>
  <c r="M12" i="999"/>
  <c r="F13" i="1004" s="1"/>
  <c r="I12" i="999"/>
  <c r="G12" i="999"/>
  <c r="D12" i="999"/>
  <c r="B12" i="999"/>
  <c r="A12" i="999"/>
  <c r="M11" i="999"/>
  <c r="F12" i="1004" s="1"/>
  <c r="I11" i="999"/>
  <c r="G11" i="999"/>
  <c r="D11" i="999"/>
  <c r="B11" i="999"/>
  <c r="A11" i="999"/>
  <c r="M10" i="999"/>
  <c r="I10" i="999"/>
  <c r="G10" i="999"/>
  <c r="D10" i="999"/>
  <c r="B10" i="999"/>
  <c r="A10" i="999"/>
  <c r="M9" i="999"/>
  <c r="I9" i="999"/>
  <c r="G9" i="999"/>
  <c r="D9" i="999"/>
  <c r="B9" i="999"/>
  <c r="A9" i="999"/>
  <c r="M8" i="999"/>
  <c r="F9" i="1004" s="1"/>
  <c r="I8" i="999"/>
  <c r="G8" i="999"/>
  <c r="D8" i="999"/>
  <c r="B8" i="999"/>
  <c r="A8" i="999"/>
  <c r="M7" i="999"/>
  <c r="F8" i="1004" s="1"/>
  <c r="I7" i="999"/>
  <c r="G7" i="999"/>
  <c r="D7" i="999"/>
  <c r="B7" i="999"/>
  <c r="A7" i="999"/>
  <c r="F3" i="999"/>
  <c r="A5" i="999" s="1"/>
  <c r="F43" i="992" a="1"/>
  <c r="F43" i="992" s="1"/>
  <c r="A43" i="992"/>
  <c r="L42" i="992"/>
  <c r="F42" i="992"/>
  <c r="A42" i="992"/>
  <c r="I37" i="992"/>
  <c r="G37" i="992"/>
  <c r="D37" i="992"/>
  <c r="B37" i="992"/>
  <c r="A37" i="992"/>
  <c r="D37" i="1004"/>
  <c r="I36" i="992"/>
  <c r="G36" i="992"/>
  <c r="D36" i="992"/>
  <c r="B36" i="992"/>
  <c r="A36" i="992"/>
  <c r="I35" i="992"/>
  <c r="G35" i="992"/>
  <c r="D35" i="992"/>
  <c r="B35" i="992"/>
  <c r="A35" i="992"/>
  <c r="I34" i="992"/>
  <c r="G34" i="992"/>
  <c r="D34" i="992"/>
  <c r="B34" i="992"/>
  <c r="A34" i="992"/>
  <c r="D34" i="1004"/>
  <c r="I33" i="992"/>
  <c r="G33" i="992"/>
  <c r="D33" i="992"/>
  <c r="B33" i="992"/>
  <c r="A33" i="992"/>
  <c r="I32" i="992"/>
  <c r="G32" i="992"/>
  <c r="C33" i="1004"/>
  <c r="D32" i="992"/>
  <c r="B32" i="992"/>
  <c r="A32" i="992"/>
  <c r="I31" i="992"/>
  <c r="G31" i="992"/>
  <c r="D31" i="992"/>
  <c r="B31" i="992"/>
  <c r="A31" i="992"/>
  <c r="I30" i="992"/>
  <c r="G30" i="992"/>
  <c r="D30" i="992"/>
  <c r="B30" i="992"/>
  <c r="A30" i="992"/>
  <c r="I29" i="992"/>
  <c r="G29" i="992"/>
  <c r="D29" i="992"/>
  <c r="B29" i="992"/>
  <c r="A29" i="992"/>
  <c r="D29" i="1004"/>
  <c r="I28" i="992"/>
  <c r="G28" i="992"/>
  <c r="C29" i="1004"/>
  <c r="D28" i="992"/>
  <c r="B28" i="992"/>
  <c r="A28" i="992"/>
  <c r="D28" i="1004"/>
  <c r="I27" i="992"/>
  <c r="G27" i="992"/>
  <c r="D27" i="992"/>
  <c r="B27" i="992"/>
  <c r="A27" i="992"/>
  <c r="I26" i="992"/>
  <c r="G26" i="992"/>
  <c r="D26" i="992"/>
  <c r="B26" i="992"/>
  <c r="A26" i="992"/>
  <c r="D26" i="1004"/>
  <c r="I25" i="992"/>
  <c r="G25" i="992"/>
  <c r="D25" i="992"/>
  <c r="B25" i="992"/>
  <c r="A25" i="992"/>
  <c r="D25" i="1004"/>
  <c r="I24" i="992"/>
  <c r="G24" i="992"/>
  <c r="D24" i="992"/>
  <c r="B24" i="992"/>
  <c r="A24" i="992"/>
  <c r="I23" i="992"/>
  <c r="G23" i="992"/>
  <c r="C24" i="1004"/>
  <c r="D23" i="992"/>
  <c r="B23" i="992"/>
  <c r="A23" i="992"/>
  <c r="I22" i="992"/>
  <c r="G22" i="992"/>
  <c r="D22" i="992"/>
  <c r="B22" i="992"/>
  <c r="A22" i="992"/>
  <c r="I21" i="992"/>
  <c r="G21" i="992"/>
  <c r="D21" i="992"/>
  <c r="B21" i="992"/>
  <c r="A21" i="992"/>
  <c r="I20" i="992"/>
  <c r="G20" i="992"/>
  <c r="C21" i="1004"/>
  <c r="D20" i="992"/>
  <c r="B20" i="992"/>
  <c r="A20" i="992"/>
  <c r="D20" i="1004"/>
  <c r="I19" i="992"/>
  <c r="G19" i="992"/>
  <c r="D19" i="992"/>
  <c r="B19" i="992"/>
  <c r="A19" i="992"/>
  <c r="I18" i="992"/>
  <c r="G18" i="992"/>
  <c r="D18" i="992"/>
  <c r="B18" i="992"/>
  <c r="A18" i="992"/>
  <c r="D18" i="1004"/>
  <c r="I17" i="992"/>
  <c r="G17" i="992"/>
  <c r="D17" i="992"/>
  <c r="B17" i="992"/>
  <c r="A17" i="992"/>
  <c r="D17" i="1004"/>
  <c r="I16" i="992"/>
  <c r="G16" i="992"/>
  <c r="D16" i="992"/>
  <c r="B16" i="992"/>
  <c r="A16" i="992"/>
  <c r="I15" i="992"/>
  <c r="G15" i="992"/>
  <c r="C16" i="1004"/>
  <c r="D15" i="992"/>
  <c r="B15" i="992"/>
  <c r="A15" i="992"/>
  <c r="I14" i="992"/>
  <c r="G14" i="992"/>
  <c r="D14" i="992"/>
  <c r="B14" i="992"/>
  <c r="A14" i="992"/>
  <c r="I13" i="992"/>
  <c r="G13" i="992"/>
  <c r="D13" i="992"/>
  <c r="B13" i="992"/>
  <c r="A13" i="992"/>
  <c r="I12" i="992"/>
  <c r="G12" i="992"/>
  <c r="D12" i="992"/>
  <c r="B12" i="992"/>
  <c r="A12" i="992"/>
  <c r="D12" i="1004"/>
  <c r="I11" i="992"/>
  <c r="G11" i="992"/>
  <c r="B11" i="992"/>
  <c r="A11" i="992"/>
  <c r="I10" i="992"/>
  <c r="G10" i="992"/>
  <c r="B10" i="992"/>
  <c r="A10" i="992"/>
  <c r="D10" i="1004"/>
  <c r="I9" i="992"/>
  <c r="G9" i="992"/>
  <c r="D9" i="992"/>
  <c r="B9" i="992"/>
  <c r="A9" i="992"/>
  <c r="D9" i="1004"/>
  <c r="I8" i="992"/>
  <c r="G8" i="992"/>
  <c r="D8" i="992"/>
  <c r="B8" i="992"/>
  <c r="A8" i="992"/>
  <c r="I7" i="992"/>
  <c r="G7" i="992"/>
  <c r="D7" i="992"/>
  <c r="B7" i="992"/>
  <c r="A7" i="992"/>
  <c r="F3" i="992"/>
  <c r="M44" i="992" s="1"/>
  <c r="G11" i="1004"/>
  <c r="H25" i="1004"/>
  <c r="E19" i="1004"/>
  <c r="C31" i="1004"/>
  <c r="G29" i="1004"/>
  <c r="D36" i="1004"/>
  <c r="E36" i="1004"/>
  <c r="J27" i="1004"/>
  <c r="I16" i="1004"/>
  <c r="C8" i="1004"/>
  <c r="H35" i="1004"/>
  <c r="H24" i="1004"/>
  <c r="M20" i="1004"/>
  <c r="E23" i="1004"/>
  <c r="H17" i="1004"/>
  <c r="G38" i="1004"/>
  <c r="H27" i="1004"/>
  <c r="G36" i="1004"/>
  <c r="J26" i="1004"/>
  <c r="L10" i="1004"/>
  <c r="H29" i="1004"/>
  <c r="I18" i="1004"/>
  <c r="I32" i="1004"/>
  <c r="L22" i="1004"/>
  <c r="H33" i="1004"/>
  <c r="I23" i="1004"/>
  <c r="E40" i="1002"/>
  <c r="H37" i="1004"/>
  <c r="L8" i="1004"/>
  <c r="K25" i="1004"/>
  <c r="M25" i="1004"/>
  <c r="G34" i="1004"/>
  <c r="I9" i="1004"/>
  <c r="I11" i="1004"/>
  <c r="I21" i="1004"/>
  <c r="I31" i="1004"/>
  <c r="N10" i="1004"/>
  <c r="M37" i="1004"/>
  <c r="M22" i="1004"/>
  <c r="M23" i="1004"/>
  <c r="N8" i="1004"/>
  <c r="N22" i="1004"/>
  <c r="M35" i="1004"/>
  <c r="I39" i="992" l="1"/>
  <c r="G39" i="1001"/>
  <c r="G39" i="999"/>
  <c r="K7" i="1003"/>
  <c r="K10" i="1000"/>
  <c r="G39" i="992"/>
  <c r="G39" i="1000"/>
  <c r="I39" i="1003"/>
  <c r="I39" i="1000"/>
  <c r="I39" i="1001"/>
  <c r="G39" i="1002"/>
  <c r="I39" i="1002"/>
  <c r="G39" i="1003"/>
  <c r="K27" i="1003"/>
  <c r="K8" i="992"/>
  <c r="K18" i="992"/>
  <c r="K14" i="999"/>
  <c r="K27" i="999"/>
  <c r="K8" i="1000"/>
  <c r="K17" i="1000"/>
  <c r="K29" i="1000"/>
  <c r="K12" i="1001"/>
  <c r="K15" i="1001"/>
  <c r="K21" i="1001"/>
  <c r="K24" i="1001"/>
  <c r="K27" i="1001"/>
  <c r="K30" i="1001"/>
  <c r="K36" i="1001"/>
  <c r="K23" i="1002"/>
  <c r="K21" i="1003"/>
  <c r="K31" i="1003"/>
  <c r="K34" i="1003"/>
  <c r="K19" i="992"/>
  <c r="K26" i="992"/>
  <c r="K7" i="999"/>
  <c r="K11" i="999"/>
  <c r="K20" i="999"/>
  <c r="K24" i="999"/>
  <c r="K18" i="1000"/>
  <c r="K30" i="1000"/>
  <c r="K10" i="1001"/>
  <c r="K16" i="1001"/>
  <c r="K19" i="1001"/>
  <c r="K22" i="1001"/>
  <c r="K25" i="1001"/>
  <c r="K28" i="1001"/>
  <c r="K31" i="1001"/>
  <c r="K34" i="1001"/>
  <c r="K12" i="1002"/>
  <c r="K18" i="1002"/>
  <c r="K24" i="1002"/>
  <c r="K28" i="1002"/>
  <c r="K19" i="1003"/>
  <c r="K22" i="1003"/>
  <c r="K32" i="1003"/>
  <c r="K9" i="992"/>
  <c r="K15" i="992"/>
  <c r="K22" i="992"/>
  <c r="K32" i="992"/>
  <c r="K15" i="999"/>
  <c r="K28" i="999"/>
  <c r="K33" i="999"/>
  <c r="K9" i="1000"/>
  <c r="K12" i="1000"/>
  <c r="K15" i="1000"/>
  <c r="K21" i="1000"/>
  <c r="K24" i="1000"/>
  <c r="K27" i="1000"/>
  <c r="K13" i="1001"/>
  <c r="K8" i="1002"/>
  <c r="K21" i="1002"/>
  <c r="K34" i="1002"/>
  <c r="K11" i="1003"/>
  <c r="K15" i="1003"/>
  <c r="K28" i="1003"/>
  <c r="K35" i="1003"/>
  <c r="K12" i="992"/>
  <c r="K25" i="992"/>
  <c r="K29" i="992"/>
  <c r="K35" i="992"/>
  <c r="K10" i="999"/>
  <c r="K19" i="999"/>
  <c r="K23" i="999"/>
  <c r="K32" i="999"/>
  <c r="K32" i="1000"/>
  <c r="K35" i="1000"/>
  <c r="K9" i="1001"/>
  <c r="K18" i="1001"/>
  <c r="K33" i="1001"/>
  <c r="K11" i="1002"/>
  <c r="K14" i="1002"/>
  <c r="K17" i="1002"/>
  <c r="K28" i="992"/>
  <c r="K20" i="1000"/>
  <c r="K33" i="1002"/>
  <c r="K14" i="992"/>
  <c r="K24" i="992"/>
  <c r="K9" i="999"/>
  <c r="K11" i="1000"/>
  <c r="K14" i="1000"/>
  <c r="K23" i="1000"/>
  <c r="K34" i="1000"/>
  <c r="K7" i="1002"/>
  <c r="K20" i="1002"/>
  <c r="K26" i="1002"/>
  <c r="K10" i="1003"/>
  <c r="K13" i="1003"/>
  <c r="K17" i="1003"/>
  <c r="K26" i="1003"/>
  <c r="K17" i="992"/>
  <c r="K27" i="992"/>
  <c r="K34" i="992"/>
  <c r="K26" i="999"/>
  <c r="K35" i="999"/>
  <c r="K31" i="1000"/>
  <c r="K8" i="1001"/>
  <c r="K17" i="1001"/>
  <c r="K20" i="1001"/>
  <c r="K23" i="1001"/>
  <c r="K32" i="1001"/>
  <c r="K10" i="1002"/>
  <c r="K13" i="1002"/>
  <c r="K16" i="1002"/>
  <c r="K29" i="1002"/>
  <c r="K32" i="1002"/>
  <c r="K36" i="1002"/>
  <c r="K23" i="1003"/>
  <c r="K33" i="1003"/>
  <c r="K20" i="1003"/>
  <c r="K30" i="1003"/>
  <c r="K36" i="999"/>
  <c r="K26" i="1000"/>
  <c r="K11" i="992"/>
  <c r="K21" i="992"/>
  <c r="K31" i="992"/>
  <c r="K13" i="999"/>
  <c r="K18" i="999"/>
  <c r="K22" i="999"/>
  <c r="K31" i="999"/>
  <c r="K7" i="992"/>
  <c r="K20" i="992"/>
  <c r="K23" i="992"/>
  <c r="K8" i="999"/>
  <c r="K12" i="999"/>
  <c r="K17" i="999"/>
  <c r="K21" i="999"/>
  <c r="K30" i="999"/>
  <c r="K7" i="1000"/>
  <c r="K16" i="1000"/>
  <c r="K19" i="1000"/>
  <c r="K25" i="1000"/>
  <c r="K28" i="1000"/>
  <c r="K11" i="1001"/>
  <c r="K14" i="1001"/>
  <c r="K26" i="1001"/>
  <c r="K29" i="1001"/>
  <c r="K35" i="1001"/>
  <c r="K19" i="1002"/>
  <c r="K22" i="1002"/>
  <c r="K25" i="1002"/>
  <c r="K10" i="992"/>
  <c r="K13" i="992"/>
  <c r="K16" i="992"/>
  <c r="K30" i="992"/>
  <c r="K33" i="992"/>
  <c r="K36" i="992"/>
  <c r="K16" i="999"/>
  <c r="K25" i="999"/>
  <c r="K29" i="999"/>
  <c r="K34" i="999"/>
  <c r="K13" i="1000"/>
  <c r="K22" i="1000"/>
  <c r="K33" i="1000"/>
  <c r="K36" i="1000"/>
  <c r="K7" i="1001"/>
  <c r="K9" i="1002"/>
  <c r="K15" i="1002"/>
  <c r="K31" i="1002"/>
  <c r="K35" i="1002"/>
  <c r="K9" i="1003"/>
  <c r="K12" i="1003"/>
  <c r="K16" i="1003"/>
  <c r="K25" i="1003"/>
  <c r="K29" i="1003"/>
  <c r="K36" i="1003"/>
  <c r="K27" i="1002"/>
  <c r="K30" i="1002"/>
  <c r="K8" i="1003"/>
  <c r="K14" i="1003"/>
  <c r="K18" i="1003"/>
  <c r="K24" i="1003"/>
  <c r="K37" i="999"/>
  <c r="K37" i="1002"/>
  <c r="M44" i="1003"/>
  <c r="A6" i="999"/>
  <c r="A6" i="1003"/>
  <c r="O44" i="999"/>
  <c r="K37" i="1003"/>
  <c r="K37" i="1001"/>
  <c r="D38" i="992"/>
  <c r="F41" i="1000"/>
  <c r="D40" i="1003"/>
  <c r="D38" i="999"/>
  <c r="M38" i="999"/>
  <c r="M39" i="999" s="1"/>
  <c r="F41" i="999"/>
  <c r="K37" i="1000"/>
  <c r="A6" i="1002"/>
  <c r="D40" i="999"/>
  <c r="F30" i="1004"/>
  <c r="F28" i="1004"/>
  <c r="I38" i="1000"/>
  <c r="D38" i="1001"/>
  <c r="A5" i="1002"/>
  <c r="B40" i="1003"/>
  <c r="C7" i="1003"/>
  <c r="C37" i="1004"/>
  <c r="C28" i="1004"/>
  <c r="C20" i="1004"/>
  <c r="C12" i="1004"/>
  <c r="D16" i="1004"/>
  <c r="N7" i="992"/>
  <c r="N8" i="992" s="1" a="1"/>
  <c r="N8" i="992" s="1"/>
  <c r="M38" i="992"/>
  <c r="M40" i="992"/>
  <c r="D8" i="1004"/>
  <c r="E29" i="1004"/>
  <c r="E21" i="1004"/>
  <c r="E13" i="1004"/>
  <c r="G33" i="1004"/>
  <c r="G25" i="1004"/>
  <c r="G17" i="1004"/>
  <c r="G9" i="1004"/>
  <c r="H23" i="1004"/>
  <c r="H15" i="1004"/>
  <c r="I38" i="1004"/>
  <c r="I22" i="1004"/>
  <c r="I14" i="1004"/>
  <c r="J33" i="1004"/>
  <c r="J25" i="1004"/>
  <c r="J17" i="1004"/>
  <c r="J9" i="1004"/>
  <c r="K32" i="1004"/>
  <c r="E38" i="1002"/>
  <c r="K8" i="1004"/>
  <c r="F7" i="1002"/>
  <c r="F8" i="1002" s="1" a="1"/>
  <c r="F8" i="1002" s="1"/>
  <c r="L31" i="1004"/>
  <c r="L14" i="1004"/>
  <c r="M34" i="1004"/>
  <c r="M18" i="1004"/>
  <c r="M10" i="1004"/>
  <c r="N25" i="1004"/>
  <c r="N14" i="1004"/>
  <c r="N33" i="1004"/>
  <c r="C35" i="1004"/>
  <c r="C26" i="1004"/>
  <c r="C18" i="1004"/>
  <c r="C10" i="1004"/>
  <c r="D14" i="1004"/>
  <c r="E27" i="1004"/>
  <c r="E11" i="1004"/>
  <c r="G31" i="1004"/>
  <c r="G23" i="1004"/>
  <c r="G15" i="1004"/>
  <c r="H13" i="1004"/>
  <c r="I36" i="1004"/>
  <c r="I28" i="1004"/>
  <c r="I20" i="1004"/>
  <c r="E38" i="1001"/>
  <c r="E40" i="1001"/>
  <c r="I12" i="1004"/>
  <c r="F7" i="1001"/>
  <c r="F8" i="1001" s="1" a="1"/>
  <c r="F8" i="1001" s="1"/>
  <c r="J31" i="1004"/>
  <c r="J23" i="1004"/>
  <c r="J15" i="1004"/>
  <c r="K38" i="1004"/>
  <c r="K30" i="1004"/>
  <c r="K22" i="1004"/>
  <c r="K14" i="1004"/>
  <c r="L37" i="1004"/>
  <c r="L29" i="1004"/>
  <c r="L20" i="1004"/>
  <c r="L12" i="1004"/>
  <c r="M24" i="1004"/>
  <c r="M16" i="1004"/>
  <c r="F7" i="1003"/>
  <c r="F8" i="1003" s="1" a="1"/>
  <c r="F8" i="1003" s="1"/>
  <c r="E40" i="1003"/>
  <c r="E38" i="1003"/>
  <c r="M8" i="1004"/>
  <c r="N23" i="1004"/>
  <c r="N12" i="1004"/>
  <c r="M40" i="1003"/>
  <c r="M38" i="1003"/>
  <c r="F27" i="1004"/>
  <c r="I38" i="1001"/>
  <c r="J7" i="1001"/>
  <c r="J8" i="1001" s="1" a="1"/>
  <c r="J8" i="1001" s="1"/>
  <c r="C36" i="1004"/>
  <c r="G24" i="1004"/>
  <c r="E38" i="1000"/>
  <c r="F7" i="1000"/>
  <c r="F8" i="1000" s="1" a="1"/>
  <c r="F8" i="1000" s="1"/>
  <c r="G8" i="1004"/>
  <c r="H14" i="1004"/>
  <c r="J32" i="1004"/>
  <c r="J8" i="1004"/>
  <c r="N7" i="1001"/>
  <c r="M38" i="1001"/>
  <c r="L38" i="1004"/>
  <c r="L21" i="1004"/>
  <c r="L13" i="1004"/>
  <c r="M33" i="1004"/>
  <c r="M9" i="1004"/>
  <c r="N13" i="1004"/>
  <c r="C27" i="1004"/>
  <c r="C19" i="1004"/>
  <c r="E38" i="1004"/>
  <c r="E12" i="1004"/>
  <c r="I37" i="1004"/>
  <c r="I13" i="1004"/>
  <c r="J24" i="1004"/>
  <c r="N32" i="1004"/>
  <c r="A6" i="1001"/>
  <c r="A5" i="1001"/>
  <c r="B40" i="1001"/>
  <c r="C7" i="1001"/>
  <c r="C8" i="1001" s="1" a="1"/>
  <c r="C8" i="1001" s="1"/>
  <c r="G40" i="1001"/>
  <c r="H7" i="1001"/>
  <c r="G38" i="1001"/>
  <c r="K16" i="1004"/>
  <c r="O40" i="999"/>
  <c r="H7" i="1000"/>
  <c r="H8" i="1000" s="1" a="1"/>
  <c r="H8" i="1000" s="1"/>
  <c r="K37" i="992"/>
  <c r="L41" i="992"/>
  <c r="G40" i="999"/>
  <c r="G38" i="999"/>
  <c r="H7" i="999"/>
  <c r="H8" i="999" s="1" a="1"/>
  <c r="H8" i="999" s="1"/>
  <c r="I40" i="999"/>
  <c r="J7" i="999"/>
  <c r="J8" i="999" s="1" a="1"/>
  <c r="J8" i="999" s="1"/>
  <c r="I38" i="999"/>
  <c r="I39" i="999" s="1"/>
  <c r="G38" i="1000"/>
  <c r="D40" i="1000"/>
  <c r="D38" i="1000"/>
  <c r="C11" i="1004"/>
  <c r="D15" i="1004"/>
  <c r="E20" i="1004"/>
  <c r="G32" i="1004"/>
  <c r="G16" i="1004"/>
  <c r="H30" i="1004"/>
  <c r="K31" i="1004"/>
  <c r="K23" i="1004"/>
  <c r="K15" i="1004"/>
  <c r="N24" i="1004"/>
  <c r="N7" i="1002"/>
  <c r="D40" i="1001"/>
  <c r="G40" i="1003"/>
  <c r="G40" i="1000"/>
  <c r="J7" i="992"/>
  <c r="I40" i="992"/>
  <c r="I38" i="992"/>
  <c r="E28" i="1004"/>
  <c r="C7" i="1000"/>
  <c r="C8" i="1000" s="1" a="1"/>
  <c r="C8" i="1000" s="1"/>
  <c r="I40" i="1003"/>
  <c r="J7" i="1003"/>
  <c r="G38" i="1003"/>
  <c r="C34" i="1004"/>
  <c r="C25" i="1004"/>
  <c r="C17" i="1004"/>
  <c r="E40" i="992"/>
  <c r="E38" i="992"/>
  <c r="C9" i="1004"/>
  <c r="F7" i="992"/>
  <c r="F8" i="992" s="1" a="1"/>
  <c r="F8" i="992" s="1"/>
  <c r="D21" i="1004"/>
  <c r="D13" i="1004"/>
  <c r="E26" i="1004"/>
  <c r="E10" i="1004"/>
  <c r="E40" i="999"/>
  <c r="F7" i="999"/>
  <c r="F8" i="999" s="1" a="1"/>
  <c r="F8" i="999" s="1"/>
  <c r="E38" i="999"/>
  <c r="P7" i="999"/>
  <c r="P8" i="999" s="1" a="1"/>
  <c r="P8" i="999" s="1"/>
  <c r="O38" i="999"/>
  <c r="O39" i="999" s="1"/>
  <c r="G30" i="1004"/>
  <c r="G14" i="1004"/>
  <c r="H28" i="1004"/>
  <c r="H20" i="1004"/>
  <c r="N7" i="1000"/>
  <c r="N8" i="1000" s="1" a="1"/>
  <c r="N8" i="1000" s="1"/>
  <c r="H12" i="1004"/>
  <c r="M40" i="1000"/>
  <c r="M38" i="1000"/>
  <c r="I35" i="1004"/>
  <c r="I27" i="1004"/>
  <c r="J38" i="1004"/>
  <c r="J22" i="1004"/>
  <c r="J14" i="1004"/>
  <c r="K37" i="1004"/>
  <c r="K29" i="1004"/>
  <c r="K21" i="1004"/>
  <c r="K13" i="1004"/>
  <c r="L36" i="1004"/>
  <c r="L28" i="1004"/>
  <c r="H7" i="992"/>
  <c r="G40" i="992"/>
  <c r="G38" i="992"/>
  <c r="L11" i="1004"/>
  <c r="M40" i="1002"/>
  <c r="D40" i="992"/>
  <c r="D40" i="1002"/>
  <c r="D38" i="1002"/>
  <c r="C7" i="992"/>
  <c r="C8" i="992" s="1" a="1"/>
  <c r="C8" i="992" s="1"/>
  <c r="B40" i="1002"/>
  <c r="C7" i="1002"/>
  <c r="G40" i="1002"/>
  <c r="G38" i="1002"/>
  <c r="H7" i="1002"/>
  <c r="M44" i="1000"/>
  <c r="A6" i="1000"/>
  <c r="A5" i="1000"/>
  <c r="J7" i="1002"/>
  <c r="J8" i="1002" s="1" a="1"/>
  <c r="J8" i="1002" s="1"/>
  <c r="J9" i="1002" s="1" a="1"/>
  <c r="J9" i="1002" s="1"/>
  <c r="I38" i="1002"/>
  <c r="I40" i="1002"/>
  <c r="F11" i="1004"/>
  <c r="F41" i="1001"/>
  <c r="L41" i="1001"/>
  <c r="C7" i="999"/>
  <c r="B40" i="999"/>
  <c r="I38" i="1003"/>
  <c r="D38" i="1003"/>
  <c r="N7" i="999"/>
  <c r="N8" i="999" s="1" a="1"/>
  <c r="N8" i="999" s="1"/>
  <c r="F10" i="1004"/>
  <c r="M40" i="999"/>
  <c r="I40" i="1000"/>
  <c r="L41" i="1002"/>
  <c r="F41" i="1002"/>
  <c r="B40" i="1000"/>
  <c r="L41" i="1003"/>
  <c r="F41" i="1003"/>
  <c r="B40" i="992"/>
  <c r="F31" i="1004"/>
  <c r="I40" i="1001"/>
  <c r="A6" i="992"/>
  <c r="A5" i="992"/>
  <c r="J7" i="1000"/>
  <c r="L41" i="1000"/>
  <c r="H10" i="1004"/>
  <c r="N7" i="1003"/>
  <c r="F41" i="992"/>
  <c r="N41" i="999"/>
  <c r="H7" i="1003"/>
  <c r="K39" i="1003" l="1"/>
  <c r="K39" i="1000"/>
  <c r="K39" i="992"/>
  <c r="K39" i="1001"/>
  <c r="K39" i="1002"/>
  <c r="R9" i="1001"/>
  <c r="P8" i="1001"/>
  <c r="P7" i="1001"/>
  <c r="T9" i="999"/>
  <c r="R8" i="999"/>
  <c r="R7" i="999"/>
  <c r="P7" i="992"/>
  <c r="R9" i="1003"/>
  <c r="R9" i="1002"/>
  <c r="P7" i="1003"/>
  <c r="P8" i="1003"/>
  <c r="R9" i="1000"/>
  <c r="P8" i="1000"/>
  <c r="P7" i="1000"/>
  <c r="P8" i="1002"/>
  <c r="P7" i="1002"/>
  <c r="K40" i="992"/>
  <c r="N9" i="992" a="1"/>
  <c r="N9" i="992" s="1"/>
  <c r="N10" i="992" s="1" a="1"/>
  <c r="N10" i="992" s="1"/>
  <c r="K40" i="1001"/>
  <c r="L7" i="1001"/>
  <c r="L8" i="1001" s="1" a="1"/>
  <c r="L8" i="1001" s="1"/>
  <c r="K38" i="992"/>
  <c r="L7" i="992"/>
  <c r="L8" i="992" s="1" a="1"/>
  <c r="L8" i="992" s="1"/>
  <c r="K38" i="1001"/>
  <c r="K38" i="1003"/>
  <c r="K40" i="1003"/>
  <c r="L7" i="1003"/>
  <c r="N8" i="1003" a="1"/>
  <c r="N8" i="1003" s="1"/>
  <c r="N9" i="1003" s="1" a="1"/>
  <c r="N9" i="1003" s="1"/>
  <c r="C9" i="1000" a="1"/>
  <c r="C9" i="1000" s="1"/>
  <c r="C9" i="992" a="1"/>
  <c r="C9" i="992" s="1"/>
  <c r="C10" i="992" s="1" a="1"/>
  <c r="C10" i="992" s="1"/>
  <c r="F9" i="1002" a="1"/>
  <c r="F9" i="1002" s="1"/>
  <c r="F10" i="1002" s="1" a="1"/>
  <c r="F10" i="1002" s="1"/>
  <c r="N9" i="999" a="1"/>
  <c r="N9" i="999" s="1"/>
  <c r="J8" i="1000" a="1"/>
  <c r="J8" i="1000" s="1"/>
  <c r="J9" i="1000" s="1" a="1"/>
  <c r="J9" i="1000" s="1"/>
  <c r="C8" i="999" a="1"/>
  <c r="C8" i="999" s="1"/>
  <c r="K38" i="1002"/>
  <c r="K40" i="1002"/>
  <c r="L7" i="1002"/>
  <c r="H8" i="1003" a="1"/>
  <c r="H8" i="1003" s="1"/>
  <c r="H9" i="1000" a="1"/>
  <c r="H9" i="1000" s="1"/>
  <c r="H10" i="1000" s="1" a="1"/>
  <c r="H10" i="1000" s="1"/>
  <c r="H11" i="1000" s="1" a="1"/>
  <c r="H11" i="1000" s="1"/>
  <c r="H8" i="1001" a="1"/>
  <c r="H8" i="1001" s="1"/>
  <c r="H9" i="1001" s="1" a="1"/>
  <c r="H9" i="1001" s="1"/>
  <c r="H10" i="1001" s="1" a="1"/>
  <c r="H10" i="1001" s="1"/>
  <c r="C8" i="1003" a="1"/>
  <c r="C8" i="1003" s="1"/>
  <c r="H8" i="1002" a="1"/>
  <c r="H8" i="1002" s="1"/>
  <c r="J8" i="1003" a="1"/>
  <c r="J8" i="1003" s="1"/>
  <c r="N8" i="1002" a="1"/>
  <c r="N8" i="1002" s="1"/>
  <c r="C8" i="1002" a="1"/>
  <c r="C8" i="1002" s="1"/>
  <c r="F9" i="1003" a="1"/>
  <c r="F9" i="1003" s="1"/>
  <c r="C9" i="1001" a="1"/>
  <c r="C9" i="1001" s="1"/>
  <c r="N9" i="1000" a="1"/>
  <c r="N9" i="1000" s="1"/>
  <c r="N10" i="1000" s="1" a="1"/>
  <c r="N10" i="1000" s="1"/>
  <c r="J10" i="1002" a="1"/>
  <c r="J10" i="1002" s="1"/>
  <c r="H9" i="999" a="1"/>
  <c r="H9" i="999" s="1"/>
  <c r="H10" i="999" s="1" a="1"/>
  <c r="H10" i="999" s="1"/>
  <c r="L7" i="999"/>
  <c r="K38" i="999"/>
  <c r="K39" i="999" s="1"/>
  <c r="K40" i="999"/>
  <c r="P9" i="999" a="1"/>
  <c r="P9" i="999" s="1"/>
  <c r="K38" i="1000"/>
  <c r="L7" i="1000"/>
  <c r="K40" i="1000"/>
  <c r="F9" i="999" a="1"/>
  <c r="F9" i="999" s="1"/>
  <c r="J8" i="992" a="1"/>
  <c r="J8" i="992" s="1"/>
  <c r="J9" i="992" s="1" a="1"/>
  <c r="J9" i="992" s="1"/>
  <c r="F9" i="1001" a="1"/>
  <c r="F9" i="1001" s="1"/>
  <c r="F10" i="1001" s="1" a="1"/>
  <c r="F10" i="1001" s="1"/>
  <c r="F9" i="992" a="1"/>
  <c r="F9" i="992" s="1"/>
  <c r="F10" i="992" s="1" a="1"/>
  <c r="F10" i="992" s="1"/>
  <c r="H8" i="992" a="1"/>
  <c r="H8" i="992" s="1"/>
  <c r="J9" i="999" a="1"/>
  <c r="J9" i="999" s="1"/>
  <c r="F9" i="1000" a="1"/>
  <c r="F9" i="1000" s="1"/>
  <c r="J9" i="1001" a="1"/>
  <c r="J9" i="1001" s="1"/>
  <c r="J10" i="1001" s="1" a="1"/>
  <c r="J10" i="1001" s="1"/>
  <c r="N8" i="1001" a="1"/>
  <c r="N8" i="1001" s="1"/>
  <c r="H12" i="1000" l="1" a="1"/>
  <c r="H12" i="1000" s="1"/>
  <c r="H13" i="1000" s="1" a="1"/>
  <c r="H13" i="1000" s="1"/>
  <c r="L9" i="1001" a="1"/>
  <c r="L9" i="1001" s="1"/>
  <c r="J10" i="992" a="1"/>
  <c r="J10" i="992" s="1"/>
  <c r="J11" i="992" s="1" a="1"/>
  <c r="J11" i="992" s="1"/>
  <c r="L9" i="992" a="1"/>
  <c r="L9" i="992" s="1"/>
  <c r="C9" i="1002" a="1"/>
  <c r="C9" i="1002" s="1"/>
  <c r="C10" i="1002" s="1" a="1"/>
  <c r="C10" i="1002" s="1"/>
  <c r="H9" i="1002" a="1"/>
  <c r="H9" i="1002" s="1"/>
  <c r="H10" i="1002" s="1" a="1"/>
  <c r="H10" i="1002" s="1"/>
  <c r="H11" i="1002" s="1" a="1"/>
  <c r="H11" i="1002" s="1"/>
  <c r="C11" i="992" a="1"/>
  <c r="C11" i="992" s="1"/>
  <c r="C12" i="992" s="1" a="1"/>
  <c r="C12" i="992" s="1"/>
  <c r="L8" i="1000" a="1"/>
  <c r="L8" i="1000" s="1"/>
  <c r="L9" i="1000" s="1" a="1"/>
  <c r="L9" i="1000" s="1"/>
  <c r="C9" i="1003" a="1"/>
  <c r="C9" i="1003" s="1"/>
  <c r="H9" i="1003" a="1"/>
  <c r="H9" i="1003" s="1"/>
  <c r="N9" i="1002" a="1"/>
  <c r="N9" i="1002" s="1"/>
  <c r="F11" i="1002" a="1"/>
  <c r="F11" i="1002" s="1"/>
  <c r="F11" i="1001" a="1"/>
  <c r="F11" i="1001" s="1"/>
  <c r="F12" i="1001" s="1" a="1"/>
  <c r="F12" i="1001" s="1"/>
  <c r="N10" i="1003" a="1"/>
  <c r="N10" i="1003" s="1"/>
  <c r="N11" i="1003" s="1" a="1"/>
  <c r="N11" i="1003" s="1"/>
  <c r="L8" i="1002" a="1"/>
  <c r="L8" i="1002" s="1"/>
  <c r="L9" i="1002" s="1" a="1"/>
  <c r="L9" i="1002" s="1"/>
  <c r="L8" i="999" a="1"/>
  <c r="L8" i="999" s="1"/>
  <c r="L9" i="999" s="1" a="1"/>
  <c r="L9" i="999" s="1"/>
  <c r="J9" i="1003" a="1"/>
  <c r="J9" i="1003" s="1"/>
  <c r="J10" i="1003" s="1" a="1"/>
  <c r="J10" i="1003" s="1"/>
  <c r="N11" i="992" a="1"/>
  <c r="N11" i="992" s="1"/>
  <c r="F11" i="992" a="1"/>
  <c r="F11" i="992" s="1"/>
  <c r="C10" i="1001" a="1"/>
  <c r="C10" i="1001" s="1"/>
  <c r="J11" i="1001" a="1"/>
  <c r="J11" i="1001" s="1"/>
  <c r="N11" i="1000" a="1"/>
  <c r="N11" i="1000" s="1"/>
  <c r="F10" i="1000" a="1"/>
  <c r="F10" i="1000" s="1"/>
  <c r="F11" i="1000" s="1" a="1"/>
  <c r="F11" i="1000" s="1"/>
  <c r="H11" i="999" a="1"/>
  <c r="H11" i="999" s="1"/>
  <c r="H12" i="999" s="1" a="1"/>
  <c r="H12" i="999" s="1"/>
  <c r="C10" i="1000" a="1"/>
  <c r="C10" i="1000" s="1"/>
  <c r="H9" i="992" a="1"/>
  <c r="H9" i="992" s="1"/>
  <c r="H10" i="992" s="1" a="1"/>
  <c r="H10" i="992" s="1"/>
  <c r="L8" i="1003" a="1"/>
  <c r="L8" i="1003" s="1"/>
  <c r="L9" i="1003" s="1" a="1"/>
  <c r="L9" i="1003" s="1"/>
  <c r="F10" i="1003" a="1"/>
  <c r="F10" i="1003" s="1"/>
  <c r="C9" i="999" a="1"/>
  <c r="C9" i="999" s="1"/>
  <c r="J10" i="1000" a="1"/>
  <c r="J10" i="1000" s="1"/>
  <c r="J11" i="1002" a="1"/>
  <c r="J11" i="1002" s="1"/>
  <c r="J12" i="1002" s="1" a="1"/>
  <c r="J12" i="1002" s="1"/>
  <c r="N9" i="1001" a="1"/>
  <c r="N9" i="1001" s="1"/>
  <c r="N10" i="1001" s="1" a="1"/>
  <c r="N10" i="1001" s="1"/>
  <c r="H11" i="1001" a="1"/>
  <c r="H11" i="1001" s="1"/>
  <c r="F10" i="999" a="1"/>
  <c r="F10" i="999" s="1"/>
  <c r="F11" i="999" s="1" a="1"/>
  <c r="F11" i="999" s="1"/>
  <c r="P10" i="999" a="1"/>
  <c r="P10" i="999" s="1"/>
  <c r="N10" i="999" a="1"/>
  <c r="N10" i="999" s="1"/>
  <c r="J10" i="999" a="1"/>
  <c r="J10" i="999" s="1"/>
  <c r="J11" i="999" s="1" a="1"/>
  <c r="J11" i="999" s="1"/>
  <c r="H14" i="1000" l="1" a="1"/>
  <c r="H14" i="1000" s="1"/>
  <c r="H15" i="1000" s="1" a="1"/>
  <c r="H15" i="1000" s="1"/>
  <c r="H16" i="1000" s="1" a="1"/>
  <c r="H16" i="1000" s="1"/>
  <c r="N12" i="1003" a="1"/>
  <c r="N12" i="1003" s="1"/>
  <c r="N13" i="1003" s="1" a="1"/>
  <c r="N13" i="1003" s="1"/>
  <c r="L10" i="1003" a="1"/>
  <c r="L10" i="1003" s="1"/>
  <c r="L10" i="1001" a="1"/>
  <c r="L10" i="1001" s="1"/>
  <c r="L10" i="1000" a="1"/>
  <c r="L10" i="1000" s="1"/>
  <c r="H13" i="999" a="1"/>
  <c r="H13" i="999" s="1"/>
  <c r="H14" i="999" s="1" a="1"/>
  <c r="H14" i="999" s="1"/>
  <c r="H12" i="1002" a="1"/>
  <c r="H12" i="1002" s="1"/>
  <c r="H13" i="1002" s="1" a="1"/>
  <c r="H13" i="1002" s="1"/>
  <c r="L10" i="999" a="1"/>
  <c r="L10" i="999" s="1"/>
  <c r="L10" i="1002" a="1"/>
  <c r="L10" i="1002" s="1"/>
  <c r="L11" i="1002" s="1" a="1"/>
  <c r="L11" i="1002" s="1"/>
  <c r="L10" i="992" a="1"/>
  <c r="L10" i="992" s="1"/>
  <c r="N12" i="992" a="1"/>
  <c r="N12" i="992" s="1"/>
  <c r="N13" i="992" s="1" a="1"/>
  <c r="N13" i="992" s="1"/>
  <c r="N14" i="992" s="1" a="1"/>
  <c r="N14" i="992" s="1"/>
  <c r="C13" i="992" a="1"/>
  <c r="C13" i="992" s="1"/>
  <c r="C14" i="992" s="1" a="1"/>
  <c r="C14" i="992" s="1"/>
  <c r="C15" i="992" s="1" a="1"/>
  <c r="C15" i="992" s="1"/>
  <c r="C11" i="1002" a="1"/>
  <c r="C11" i="1002" s="1"/>
  <c r="C12" i="1002" s="1" a="1"/>
  <c r="C12" i="1002" s="1"/>
  <c r="P11" i="999" a="1"/>
  <c r="P11" i="999" s="1"/>
  <c r="N11" i="1001" a="1"/>
  <c r="N11" i="1001" s="1"/>
  <c r="N12" i="1000" a="1"/>
  <c r="N12" i="1000" s="1"/>
  <c r="N10" i="1002" a="1"/>
  <c r="N10" i="1002" s="1"/>
  <c r="N11" i="1002" s="1" a="1"/>
  <c r="N11" i="1002" s="1"/>
  <c r="N12" i="1002" s="1" a="1"/>
  <c r="N12" i="1002" s="1"/>
  <c r="N13" i="1002" s="1" a="1"/>
  <c r="N13" i="1002" s="1"/>
  <c r="H11" i="992" a="1"/>
  <c r="H11" i="992" s="1"/>
  <c r="C10" i="999" a="1"/>
  <c r="C10" i="999" s="1"/>
  <c r="C11" i="999" s="1" a="1"/>
  <c r="C11" i="999" s="1"/>
  <c r="F12" i="999" a="1"/>
  <c r="F12" i="999" s="1"/>
  <c r="F13" i="999" s="1" a="1"/>
  <c r="F13" i="999" s="1"/>
  <c r="J13" i="1002" a="1"/>
  <c r="J13" i="1002" s="1"/>
  <c r="C11" i="1000" a="1"/>
  <c r="C11" i="1000" s="1"/>
  <c r="F12" i="1002" a="1"/>
  <c r="F12" i="1002" s="1"/>
  <c r="H10" i="1003" a="1"/>
  <c r="H10" i="1003" s="1"/>
  <c r="H11" i="1003" s="1" a="1"/>
  <c r="H11" i="1003" s="1"/>
  <c r="C10" i="1003" a="1"/>
  <c r="C10" i="1003" s="1"/>
  <c r="N11" i="999" a="1"/>
  <c r="N11" i="999" s="1"/>
  <c r="F13" i="1001" a="1"/>
  <c r="F13" i="1001" s="1"/>
  <c r="F12" i="992" a="1"/>
  <c r="F12" i="992" s="1"/>
  <c r="F13" i="992" s="1" a="1"/>
  <c r="F13" i="992" s="1"/>
  <c r="F12" i="1000" a="1"/>
  <c r="F12" i="1000" s="1"/>
  <c r="J11" i="1000" a="1"/>
  <c r="J11" i="1000" s="1"/>
  <c r="J12" i="1000" s="1" a="1"/>
  <c r="J12" i="1000" s="1"/>
  <c r="H12" i="1001" a="1"/>
  <c r="H12" i="1001" s="1"/>
  <c r="J11" i="1003" a="1"/>
  <c r="J11" i="1003" s="1"/>
  <c r="C11" i="1001" a="1"/>
  <c r="C11" i="1001" s="1"/>
  <c r="J12" i="992" a="1"/>
  <c r="J12" i="992" s="1"/>
  <c r="J12" i="999" a="1"/>
  <c r="J12" i="999" s="1"/>
  <c r="J13" i="999" s="1" a="1"/>
  <c r="J13" i="999" s="1"/>
  <c r="F11" i="1003" a="1"/>
  <c r="F11" i="1003" s="1"/>
  <c r="F12" i="1003" s="1" a="1"/>
  <c r="F12" i="1003" s="1"/>
  <c r="J12" i="1001" a="1"/>
  <c r="J12" i="1001" s="1"/>
  <c r="L12" i="1002" l="1" a="1"/>
  <c r="L12" i="1002" s="1"/>
  <c r="L13" i="1002" s="1" a="1"/>
  <c r="L13" i="1002" s="1"/>
  <c r="H17" i="1000" a="1"/>
  <c r="H17" i="1000" s="1"/>
  <c r="H18" i="1000" s="1" a="1"/>
  <c r="H18" i="1000" s="1"/>
  <c r="H19" i="1000" s="1" a="1"/>
  <c r="H19" i="1000" s="1"/>
  <c r="J14" i="1002" a="1"/>
  <c r="J14" i="1002" s="1"/>
  <c r="J15" i="1002" s="1" a="1"/>
  <c r="J15" i="1002" s="1"/>
  <c r="J16" i="1002" s="1" a="1"/>
  <c r="J16" i="1002" s="1"/>
  <c r="N12" i="999" a="1"/>
  <c r="N12" i="999" s="1"/>
  <c r="N13" i="999" s="1" a="1"/>
  <c r="N13" i="999" s="1"/>
  <c r="N14" i="999" s="1" a="1"/>
  <c r="N14" i="999" s="1"/>
  <c r="J13" i="1000" a="1"/>
  <c r="J13" i="1000" s="1"/>
  <c r="J14" i="1000" s="1" a="1"/>
  <c r="J14" i="1000" s="1"/>
  <c r="J15" i="1000" s="1" a="1"/>
  <c r="J15" i="1000" s="1"/>
  <c r="J16" i="1000" s="1" a="1"/>
  <c r="J16" i="1000" s="1"/>
  <c r="H14" i="1002" a="1"/>
  <c r="H14" i="1002" s="1"/>
  <c r="L11" i="999" a="1"/>
  <c r="L11" i="999" s="1"/>
  <c r="L11" i="1000" a="1"/>
  <c r="L11" i="1000" s="1"/>
  <c r="L11" i="1001" a="1"/>
  <c r="L11" i="1001" s="1"/>
  <c r="L11" i="992" a="1"/>
  <c r="L11" i="992" s="1"/>
  <c r="L11" i="1003" a="1"/>
  <c r="L11" i="1003" s="1"/>
  <c r="L12" i="1003" s="1" a="1"/>
  <c r="L12" i="1003" s="1"/>
  <c r="J13" i="1001" a="1"/>
  <c r="J13" i="1001" s="1"/>
  <c r="C12" i="999" a="1"/>
  <c r="C12" i="999" s="1"/>
  <c r="C13" i="999" s="1" a="1"/>
  <c r="C13" i="999" s="1"/>
  <c r="F14" i="999" a="1"/>
  <c r="F14" i="999" s="1"/>
  <c r="F15" i="999" s="1" a="1"/>
  <c r="F15" i="999" s="1"/>
  <c r="N15" i="992" a="1"/>
  <c r="N15" i="992" s="1"/>
  <c r="N16" i="992" s="1" a="1"/>
  <c r="N16" i="992" s="1"/>
  <c r="H12" i="992" a="1"/>
  <c r="H12" i="992" s="1"/>
  <c r="H13" i="992" s="1" a="1"/>
  <c r="H13" i="992" s="1"/>
  <c r="P12" i="999" a="1"/>
  <c r="P12" i="999" s="1"/>
  <c r="H13" i="1001" a="1"/>
  <c r="H13" i="1001" s="1"/>
  <c r="H14" i="1001" s="1" a="1"/>
  <c r="H14" i="1001" s="1"/>
  <c r="N13" i="1000" a="1"/>
  <c r="N13" i="1000" s="1"/>
  <c r="N14" i="1000" s="1" a="1"/>
  <c r="N14" i="1000" s="1"/>
  <c r="N14" i="1003" a="1"/>
  <c r="N14" i="1003" s="1"/>
  <c r="J13" i="992" a="1"/>
  <c r="J13" i="992" s="1"/>
  <c r="J14" i="992" s="1" a="1"/>
  <c r="J14" i="992" s="1"/>
  <c r="J15" i="992" s="1" a="1"/>
  <c r="J15" i="992" s="1"/>
  <c r="C12" i="1000" a="1"/>
  <c r="C12" i="1000" s="1"/>
  <c r="F14" i="1001" a="1"/>
  <c r="F14" i="1001" s="1"/>
  <c r="F14" i="992" a="1"/>
  <c r="F14" i="992" s="1"/>
  <c r="F15" i="992" s="1" a="1"/>
  <c r="F15" i="992" s="1"/>
  <c r="C13" i="1002" a="1"/>
  <c r="C13" i="1002" s="1"/>
  <c r="C14" i="1002" s="1" a="1"/>
  <c r="C14" i="1002" s="1"/>
  <c r="C15" i="1002" s="1" a="1"/>
  <c r="C15" i="1002" s="1"/>
  <c r="C16" i="1002" s="1" a="1"/>
  <c r="C16" i="1002" s="1"/>
  <c r="J14" i="999" a="1"/>
  <c r="J14" i="999" s="1"/>
  <c r="J12" i="1003" a="1"/>
  <c r="J12" i="1003" s="1"/>
  <c r="J13" i="1003" s="1" a="1"/>
  <c r="J13" i="1003" s="1"/>
  <c r="F13" i="1003" a="1"/>
  <c r="F13" i="1003" s="1"/>
  <c r="C11" i="1003" a="1"/>
  <c r="C11" i="1003" s="1"/>
  <c r="C12" i="1003" s="1" a="1"/>
  <c r="C12" i="1003" s="1"/>
  <c r="H15" i="999" a="1"/>
  <c r="H15" i="999" s="1"/>
  <c r="C12" i="1001" a="1"/>
  <c r="C12" i="1001" s="1"/>
  <c r="N12" i="1001" a="1"/>
  <c r="N12" i="1001" s="1"/>
  <c r="F13" i="1000" a="1"/>
  <c r="F13" i="1000" s="1"/>
  <c r="N14" i="1002" a="1"/>
  <c r="N14" i="1002" s="1"/>
  <c r="H12" i="1003" a="1"/>
  <c r="H12" i="1003" s="1"/>
  <c r="H13" i="1003" s="1" a="1"/>
  <c r="H13" i="1003" s="1"/>
  <c r="H14" i="1003" s="1" a="1"/>
  <c r="H14" i="1003" s="1"/>
  <c r="C16" i="992" a="1"/>
  <c r="C16" i="992" s="1"/>
  <c r="F13" i="1002" a="1"/>
  <c r="F13" i="1002" s="1"/>
  <c r="L12" i="992" l="1" a="1"/>
  <c r="L12" i="992" s="1"/>
  <c r="L13" i="992" s="1" a="1"/>
  <c r="L13" i="992" s="1"/>
  <c r="H15" i="1002" a="1"/>
  <c r="H15" i="1002" s="1"/>
  <c r="L13" i="1003" a="1"/>
  <c r="L13" i="1003" s="1"/>
  <c r="L12" i="999" a="1"/>
  <c r="L12" i="999" s="1"/>
  <c r="L13" i="999" s="1" a="1"/>
  <c r="L13" i="999" s="1"/>
  <c r="L14" i="1002" a="1"/>
  <c r="L14" i="1002" s="1"/>
  <c r="L15" i="1002" s="1" a="1"/>
  <c r="L15" i="1002" s="1"/>
  <c r="C14" i="999" a="1"/>
  <c r="C14" i="999" s="1"/>
  <c r="L12" i="1001" a="1"/>
  <c r="L12" i="1001" s="1"/>
  <c r="F15" i="1001" a="1"/>
  <c r="F15" i="1001" s="1"/>
  <c r="F16" i="1001" s="1" a="1"/>
  <c r="F16" i="1001" s="1"/>
  <c r="F17" i="1001" s="1" a="1"/>
  <c r="F17" i="1001" s="1"/>
  <c r="F18" i="1001" s="1" a="1"/>
  <c r="F18" i="1001" s="1"/>
  <c r="F19" i="1001" s="1" a="1"/>
  <c r="F19" i="1001" s="1"/>
  <c r="F20" i="1001" s="1" a="1"/>
  <c r="F20" i="1001" s="1"/>
  <c r="L12" i="1000" a="1"/>
  <c r="L12" i="1000" s="1"/>
  <c r="J16" i="992" a="1"/>
  <c r="J16" i="992" s="1"/>
  <c r="J17" i="992" s="1" a="1"/>
  <c r="J17" i="992" s="1"/>
  <c r="F16" i="992" a="1"/>
  <c r="F16" i="992" s="1"/>
  <c r="N15" i="1003" a="1"/>
  <c r="N15" i="1003" s="1"/>
  <c r="N16" i="1003" s="1" a="1"/>
  <c r="N16" i="1003" s="1"/>
  <c r="N17" i="1003" s="1" a="1"/>
  <c r="N17" i="1003" s="1"/>
  <c r="N18" i="1003" s="1" a="1"/>
  <c r="N18" i="1003" s="1"/>
  <c r="N19" i="1003" s="1" a="1"/>
  <c r="N19" i="1003" s="1"/>
  <c r="H15" i="1003" a="1"/>
  <c r="H15" i="1003" s="1"/>
  <c r="H16" i="1003" s="1" a="1"/>
  <c r="H16" i="1003" s="1"/>
  <c r="H17" i="1003" s="1" a="1"/>
  <c r="H17" i="1003" s="1"/>
  <c r="H18" i="1003" s="1" a="1"/>
  <c r="H18" i="1003" s="1"/>
  <c r="H19" i="1003" s="1" a="1"/>
  <c r="H19" i="1003" s="1"/>
  <c r="H20" i="1003" s="1" a="1"/>
  <c r="H20" i="1003" s="1"/>
  <c r="H21" i="1003" s="1" a="1"/>
  <c r="H21" i="1003" s="1"/>
  <c r="H22" i="1003" s="1" a="1"/>
  <c r="H22" i="1003" s="1"/>
  <c r="H23" i="1003" s="1" a="1"/>
  <c r="H23" i="1003" s="1"/>
  <c r="H24" i="1003" s="1" a="1"/>
  <c r="H24" i="1003" s="1"/>
  <c r="H25" i="1003" s="1" a="1"/>
  <c r="H25" i="1003" s="1"/>
  <c r="H26" i="1003" s="1" a="1"/>
  <c r="H26" i="1003" s="1"/>
  <c r="H27" i="1003" s="1" a="1"/>
  <c r="H27" i="1003" s="1"/>
  <c r="H28" i="1003" s="1" a="1"/>
  <c r="H28" i="1003" s="1"/>
  <c r="H29" i="1003" s="1" a="1"/>
  <c r="H29" i="1003" s="1"/>
  <c r="H30" i="1003" s="1" a="1"/>
  <c r="H30" i="1003" s="1"/>
  <c r="H31" i="1003" s="1" a="1"/>
  <c r="H31" i="1003" s="1"/>
  <c r="H32" i="1003" s="1" a="1"/>
  <c r="H32" i="1003" s="1"/>
  <c r="H33" i="1003" s="1" a="1"/>
  <c r="H33" i="1003" s="1"/>
  <c r="H34" i="1003" s="1" a="1"/>
  <c r="H34" i="1003" s="1"/>
  <c r="H35" i="1003" s="1" a="1"/>
  <c r="H35" i="1003" s="1"/>
  <c r="H36" i="1003" s="1" a="1"/>
  <c r="H36" i="1003" s="1"/>
  <c r="H37" i="1003" s="1" a="1"/>
  <c r="H37" i="1003" s="1"/>
  <c r="F16" i="999" a="1"/>
  <c r="F16" i="999" s="1"/>
  <c r="F17" i="999" s="1" a="1"/>
  <c r="F17" i="999" s="1"/>
  <c r="H20" i="1000" a="1"/>
  <c r="H20" i="1000" s="1"/>
  <c r="H14" i="992" a="1"/>
  <c r="H14" i="992" s="1"/>
  <c r="C13" i="1003" a="1"/>
  <c r="C13" i="1003" s="1"/>
  <c r="C13" i="1001" a="1"/>
  <c r="C13" i="1001" s="1"/>
  <c r="C14" i="1001" s="1" a="1"/>
  <c r="C14" i="1001" s="1"/>
  <c r="C15" i="1001" s="1" a="1"/>
  <c r="C15" i="1001" s="1"/>
  <c r="F14" i="1003" a="1"/>
  <c r="F14" i="1003" s="1"/>
  <c r="N15" i="1000" a="1"/>
  <c r="N15" i="1000" s="1"/>
  <c r="N16" i="1000" s="1" a="1"/>
  <c r="N16" i="1000" s="1"/>
  <c r="N17" i="1000" s="1" a="1"/>
  <c r="N17" i="1000" s="1"/>
  <c r="H15" i="1001" a="1"/>
  <c r="H15" i="1001" s="1"/>
  <c r="N15" i="999" a="1"/>
  <c r="N15" i="999" s="1"/>
  <c r="H16" i="999" a="1"/>
  <c r="H16" i="999" s="1"/>
  <c r="J17" i="1002" a="1"/>
  <c r="J17" i="1002" s="1"/>
  <c r="P13" i="999" a="1"/>
  <c r="P13" i="999" s="1"/>
  <c r="P14" i="999" s="1" a="1"/>
  <c r="P14" i="999" s="1"/>
  <c r="P15" i="999" s="1" a="1"/>
  <c r="P15" i="999" s="1"/>
  <c r="P16" i="999" s="1" a="1"/>
  <c r="P16" i="999" s="1"/>
  <c r="P17" i="999" s="1" a="1"/>
  <c r="P17" i="999" s="1"/>
  <c r="J14" i="1001" a="1"/>
  <c r="J14" i="1001" s="1"/>
  <c r="J15" i="1001" s="1" a="1"/>
  <c r="J15" i="1001" s="1"/>
  <c r="J16" i="1001" s="1" a="1"/>
  <c r="J16" i="1001" s="1"/>
  <c r="C17" i="992" a="1"/>
  <c r="C17" i="992" s="1"/>
  <c r="C18" i="992" s="1" a="1"/>
  <c r="C18" i="992" s="1"/>
  <c r="C19" i="992" s="1" a="1"/>
  <c r="C19" i="992" s="1"/>
  <c r="C20" i="992" s="1" a="1"/>
  <c r="C20" i="992" s="1"/>
  <c r="C21" i="992" s="1" a="1"/>
  <c r="C21" i="992" s="1"/>
  <c r="N13" i="1001" a="1"/>
  <c r="N13" i="1001" s="1"/>
  <c r="N14" i="1001" s="1" a="1"/>
  <c r="N14" i="1001" s="1"/>
  <c r="J17" i="1000" a="1"/>
  <c r="J17" i="1000" s="1"/>
  <c r="J18" i="1000" s="1" a="1"/>
  <c r="J18" i="1000" s="1"/>
  <c r="N17" i="992" a="1"/>
  <c r="N17" i="992" s="1"/>
  <c r="N18" i="992" s="1" a="1"/>
  <c r="N18" i="992" s="1"/>
  <c r="N19" i="992" s="1" a="1"/>
  <c r="N19" i="992" s="1"/>
  <c r="N20" i="992" s="1" a="1"/>
  <c r="N20" i="992" s="1"/>
  <c r="N15" i="1002" a="1"/>
  <c r="N15" i="1002" s="1"/>
  <c r="F14" i="1002" a="1"/>
  <c r="F14" i="1002" s="1"/>
  <c r="F14" i="1000" a="1"/>
  <c r="F14" i="1000" s="1"/>
  <c r="J14" i="1003" a="1"/>
  <c r="J14" i="1003" s="1"/>
  <c r="J15" i="999" a="1"/>
  <c r="J15" i="999" s="1"/>
  <c r="J16" i="999" s="1" a="1"/>
  <c r="J16" i="999" s="1"/>
  <c r="C13" i="1000" a="1"/>
  <c r="C13" i="1000" s="1"/>
  <c r="C14" i="1000" s="1" a="1"/>
  <c r="C14" i="1000" s="1"/>
  <c r="C15" i="1000" s="1" a="1"/>
  <c r="C15" i="1000" s="1"/>
  <c r="C16" i="1000" s="1" a="1"/>
  <c r="C16" i="1000" s="1"/>
  <c r="C17" i="1002" a="1"/>
  <c r="C17" i="1002" s="1"/>
  <c r="C18" i="1002" s="1" a="1"/>
  <c r="C18" i="1002" s="1"/>
  <c r="C19" i="1002" s="1" a="1"/>
  <c r="C19" i="1002" s="1"/>
  <c r="C20" i="1002" s="1" a="1"/>
  <c r="C20" i="1002" s="1"/>
  <c r="C21" i="1002" s="1" a="1"/>
  <c r="C21" i="1002" s="1"/>
  <c r="C22" i="1002" s="1" a="1"/>
  <c r="C22" i="1002" s="1"/>
  <c r="C23" i="1002" s="1" a="1"/>
  <c r="C23" i="1002" s="1"/>
  <c r="C24" i="1002" s="1" a="1"/>
  <c r="C24" i="1002" s="1"/>
  <c r="C25" i="1002" s="1" a="1"/>
  <c r="C25" i="1002" s="1"/>
  <c r="C26" i="1002" s="1" a="1"/>
  <c r="C26" i="1002" s="1"/>
  <c r="C27" i="1002" s="1" a="1"/>
  <c r="C27" i="1002" s="1"/>
  <c r="C28" i="1002" s="1" a="1"/>
  <c r="C28" i="1002" s="1"/>
  <c r="C29" i="1002" s="1" a="1"/>
  <c r="C29" i="1002" s="1"/>
  <c r="C30" i="1002" s="1" a="1"/>
  <c r="C30" i="1002" s="1"/>
  <c r="C31" i="1002" s="1" a="1"/>
  <c r="C31" i="1002" s="1"/>
  <c r="C32" i="1002" s="1" a="1"/>
  <c r="C32" i="1002" s="1"/>
  <c r="C33" i="1002" s="1" a="1"/>
  <c r="C33" i="1002" s="1"/>
  <c r="C34" i="1002" s="1" a="1"/>
  <c r="C34" i="1002" s="1"/>
  <c r="C35" i="1002" s="1" a="1"/>
  <c r="C35" i="1002" s="1"/>
  <c r="C36" i="1002" s="1" a="1"/>
  <c r="C36" i="1002" s="1"/>
  <c r="C37" i="1002" s="1" a="1"/>
  <c r="C37" i="1002" s="1"/>
  <c r="L14" i="999" l="1" a="1"/>
  <c r="L14" i="999" s="1"/>
  <c r="L15" i="999" s="1" a="1"/>
  <c r="L15" i="999" s="1"/>
  <c r="L16" i="999" s="1" a="1"/>
  <c r="L16" i="999" s="1"/>
  <c r="N20" i="1003" a="1"/>
  <c r="N20" i="1003" s="1"/>
  <c r="N21" i="1003" s="1" a="1"/>
  <c r="N21" i="1003" s="1"/>
  <c r="N22" i="1003" s="1" a="1"/>
  <c r="N22" i="1003" s="1"/>
  <c r="N23" i="1003" s="1" a="1"/>
  <c r="N23" i="1003" s="1"/>
  <c r="N24" i="1003" s="1" a="1"/>
  <c r="N24" i="1003" s="1"/>
  <c r="N25" i="1003" s="1" a="1"/>
  <c r="N25" i="1003" s="1"/>
  <c r="N26" i="1003" s="1" a="1"/>
  <c r="N26" i="1003" s="1"/>
  <c r="N27" i="1003" s="1" a="1"/>
  <c r="N27" i="1003" s="1"/>
  <c r="F17" i="992" a="1"/>
  <c r="F17" i="992" s="1"/>
  <c r="F18" i="992" s="1" a="1"/>
  <c r="F18" i="992" s="1"/>
  <c r="F19" i="992" s="1" a="1"/>
  <c r="F19" i="992" s="1"/>
  <c r="L13" i="1000" a="1"/>
  <c r="L13" i="1000" s="1"/>
  <c r="F21" i="1001" a="1"/>
  <c r="F21" i="1001" s="1"/>
  <c r="F22" i="1001" s="1" a="1"/>
  <c r="F22" i="1001" s="1"/>
  <c r="F23" i="1001" s="1" a="1"/>
  <c r="F23" i="1001" s="1"/>
  <c r="F24" i="1001" s="1" a="1"/>
  <c r="F24" i="1001" s="1"/>
  <c r="F25" i="1001" s="1" a="1"/>
  <c r="F25" i="1001" s="1"/>
  <c r="F26" i="1001" s="1" a="1"/>
  <c r="F26" i="1001" s="1"/>
  <c r="F27" i="1001" s="1" a="1"/>
  <c r="F27" i="1001" s="1"/>
  <c r="F28" i="1001" s="1" a="1"/>
  <c r="F28" i="1001" s="1"/>
  <c r="F29" i="1001" s="1" a="1"/>
  <c r="F29" i="1001" s="1"/>
  <c r="F30" i="1001" s="1" a="1"/>
  <c r="F30" i="1001" s="1"/>
  <c r="F31" i="1001" s="1" a="1"/>
  <c r="F31" i="1001" s="1"/>
  <c r="F32" i="1001" s="1" a="1"/>
  <c r="F32" i="1001" s="1"/>
  <c r="F33" i="1001" s="1" a="1"/>
  <c r="F33" i="1001" s="1"/>
  <c r="L16" i="1002" a="1"/>
  <c r="L16" i="1002" s="1"/>
  <c r="L17" i="1002" s="1" a="1"/>
  <c r="L17" i="1002" s="1"/>
  <c r="C15" i="999" a="1"/>
  <c r="C15" i="999" s="1"/>
  <c r="C16" i="999" s="1" a="1"/>
  <c r="C16" i="999" s="1"/>
  <c r="C17" i="999" s="1" a="1"/>
  <c r="C17" i="999" s="1"/>
  <c r="P18" i="999" a="1"/>
  <c r="P18" i="999" s="1"/>
  <c r="P19" i="999" s="1" a="1"/>
  <c r="P19" i="999" s="1"/>
  <c r="P20" i="999" s="1" a="1"/>
  <c r="P20" i="999" s="1"/>
  <c r="P21" i="999" s="1" a="1"/>
  <c r="P21" i="999" s="1"/>
  <c r="P22" i="999" s="1" a="1"/>
  <c r="P22" i="999" s="1"/>
  <c r="P23" i="999" s="1" a="1"/>
  <c r="P23" i="999" s="1"/>
  <c r="P24" i="999" s="1" a="1"/>
  <c r="P24" i="999" s="1"/>
  <c r="P25" i="999" s="1" a="1"/>
  <c r="P25" i="999" s="1"/>
  <c r="P26" i="999" s="1" a="1"/>
  <c r="P26" i="999" s="1"/>
  <c r="L13" i="1001" a="1"/>
  <c r="L13" i="1001" s="1"/>
  <c r="L14" i="1001" s="1" a="1"/>
  <c r="L14" i="1001" s="1"/>
  <c r="L15" i="1001" s="1" a="1"/>
  <c r="L15" i="1001" s="1"/>
  <c r="L16" i="1001" s="1" a="1"/>
  <c r="L16" i="1001" s="1"/>
  <c r="L14" i="992" a="1"/>
  <c r="L14" i="992" s="1"/>
  <c r="L15" i="992" s="1" a="1"/>
  <c r="L15" i="992" s="1"/>
  <c r="H16" i="1002" a="1"/>
  <c r="H16" i="1002" s="1"/>
  <c r="J18" i="992" a="1"/>
  <c r="J18" i="992" s="1"/>
  <c r="J19" i="992" s="1" a="1"/>
  <c r="J19" i="992" s="1"/>
  <c r="L14" i="1003" a="1"/>
  <c r="L14" i="1003" s="1"/>
  <c r="C17" i="1000" a="1"/>
  <c r="C17" i="1000" s="1"/>
  <c r="C18" i="1000" s="1" a="1"/>
  <c r="C18" i="1000" s="1"/>
  <c r="C19" i="1000" s="1" a="1"/>
  <c r="C19" i="1000" s="1"/>
  <c r="C20" i="1000" s="1" a="1"/>
  <c r="C20" i="1000" s="1"/>
  <c r="C21" i="1000" s="1" a="1"/>
  <c r="C21" i="1000" s="1"/>
  <c r="C22" i="1000" s="1" a="1"/>
  <c r="C22" i="1000" s="1"/>
  <c r="C23" i="1000" s="1" a="1"/>
  <c r="C23" i="1000" s="1"/>
  <c r="C24" i="1000" s="1" a="1"/>
  <c r="C24" i="1000" s="1"/>
  <c r="C25" i="1000" s="1" a="1"/>
  <c r="C25" i="1000" s="1"/>
  <c r="C26" i="1000" s="1" a="1"/>
  <c r="C26" i="1000" s="1"/>
  <c r="C27" i="1000" s="1" a="1"/>
  <c r="C27" i="1000" s="1"/>
  <c r="C28" i="1000" s="1" a="1"/>
  <c r="C28" i="1000" s="1"/>
  <c r="C29" i="1000" s="1" a="1"/>
  <c r="C29" i="1000" s="1"/>
  <c r="C30" i="1000" s="1" a="1"/>
  <c r="C30" i="1000" s="1"/>
  <c r="C31" i="1000" s="1" a="1"/>
  <c r="C31" i="1000" s="1"/>
  <c r="C32" i="1000" s="1" a="1"/>
  <c r="C32" i="1000" s="1"/>
  <c r="C33" i="1000" s="1" a="1"/>
  <c r="C33" i="1000" s="1"/>
  <c r="C34" i="1000" s="1" a="1"/>
  <c r="C34" i="1000" s="1"/>
  <c r="C35" i="1000" s="1" a="1"/>
  <c r="C35" i="1000" s="1"/>
  <c r="C36" i="1000" s="1" a="1"/>
  <c r="C36" i="1000" s="1"/>
  <c r="C37" i="1000" s="1" a="1"/>
  <c r="C37" i="1000" s="1"/>
  <c r="N15" i="1001" a="1"/>
  <c r="N15" i="1001" s="1"/>
  <c r="N16" i="1001" s="1" a="1"/>
  <c r="N16" i="1001" s="1"/>
  <c r="N17" i="1001" s="1" a="1"/>
  <c r="N17" i="1001" s="1"/>
  <c r="C22" i="992" a="1"/>
  <c r="C22" i="992" s="1"/>
  <c r="C23" i="992" s="1" a="1"/>
  <c r="C23" i="992" s="1"/>
  <c r="C24" i="992" s="1" a="1"/>
  <c r="C24" i="992" s="1"/>
  <c r="C25" i="992" s="1" a="1"/>
  <c r="C25" i="992" s="1"/>
  <c r="C26" i="992" s="1" a="1"/>
  <c r="C26" i="992" s="1"/>
  <c r="C27" i="992" s="1" a="1"/>
  <c r="C27" i="992" s="1"/>
  <c r="C28" i="992" s="1" a="1"/>
  <c r="C28" i="992" s="1"/>
  <c r="C29" i="992" s="1" a="1"/>
  <c r="C29" i="992" s="1"/>
  <c r="C30" i="992" s="1" a="1"/>
  <c r="C30" i="992" s="1"/>
  <c r="C31" i="992" s="1" a="1"/>
  <c r="C31" i="992" s="1"/>
  <c r="C32" i="992" s="1" a="1"/>
  <c r="C32" i="992" s="1"/>
  <c r="C33" i="992" s="1" a="1"/>
  <c r="C33" i="992" s="1"/>
  <c r="C34" i="992" s="1" a="1"/>
  <c r="C34" i="992" s="1"/>
  <c r="C35" i="992" s="1" a="1"/>
  <c r="C35" i="992" s="1"/>
  <c r="C36" i="992" s="1" a="1"/>
  <c r="C36" i="992" s="1"/>
  <c r="C37" i="992" s="1" a="1"/>
  <c r="C37" i="992" s="1"/>
  <c r="H15" i="992" a="1"/>
  <c r="H15" i="992" s="1"/>
  <c r="H16" i="992" s="1" a="1"/>
  <c r="H16" i="992" s="1"/>
  <c r="H17" i="992" s="1" a="1"/>
  <c r="H17" i="992" s="1"/>
  <c r="H18" i="992" s="1" a="1"/>
  <c r="H18" i="992" s="1"/>
  <c r="H19" i="992" s="1" a="1"/>
  <c r="H19" i="992" s="1"/>
  <c r="H20" i="992" s="1" a="1"/>
  <c r="H20" i="992" s="1"/>
  <c r="H21" i="992" s="1" a="1"/>
  <c r="H21" i="992" s="1"/>
  <c r="H22" i="992" s="1" a="1"/>
  <c r="H22" i="992" s="1"/>
  <c r="H23" i="992" s="1" a="1"/>
  <c r="H23" i="992" s="1"/>
  <c r="H24" i="992" s="1" a="1"/>
  <c r="H24" i="992" s="1"/>
  <c r="H25" i="992" s="1" a="1"/>
  <c r="H25" i="992" s="1"/>
  <c r="H26" i="992" s="1" a="1"/>
  <c r="H26" i="992" s="1"/>
  <c r="H27" i="992" s="1" a="1"/>
  <c r="H27" i="992" s="1"/>
  <c r="H28" i="992" s="1" a="1"/>
  <c r="H28" i="992" s="1"/>
  <c r="H29" i="992" s="1" a="1"/>
  <c r="H29" i="992" s="1"/>
  <c r="H30" i="992" s="1" a="1"/>
  <c r="H30" i="992" s="1"/>
  <c r="H31" i="992" s="1" a="1"/>
  <c r="H31" i="992" s="1"/>
  <c r="H32" i="992" s="1" a="1"/>
  <c r="H32" i="992" s="1"/>
  <c r="H33" i="992" s="1" a="1"/>
  <c r="H33" i="992" s="1"/>
  <c r="H34" i="992" s="1" a="1"/>
  <c r="H34" i="992" s="1"/>
  <c r="H35" i="992" s="1" a="1"/>
  <c r="H35" i="992" s="1"/>
  <c r="H36" i="992" s="1" a="1"/>
  <c r="H36" i="992" s="1"/>
  <c r="H37" i="992" s="1" a="1"/>
  <c r="H37" i="992" s="1"/>
  <c r="J18" i="1002" a="1"/>
  <c r="J18" i="1002" s="1"/>
  <c r="J19" i="1002" s="1" a="1"/>
  <c r="J19" i="1002" s="1"/>
  <c r="F15" i="1000" a="1"/>
  <c r="F15" i="1000" s="1"/>
  <c r="F16" i="1000" s="1" a="1"/>
  <c r="F16" i="1000" s="1"/>
  <c r="F17" i="1000" s="1" a="1"/>
  <c r="F17" i="1000" s="1"/>
  <c r="F18" i="1000" s="1" a="1"/>
  <c r="F18" i="1000" s="1"/>
  <c r="F19" i="1000" s="1" a="1"/>
  <c r="F19" i="1000" s="1"/>
  <c r="F20" i="1000" s="1" a="1"/>
  <c r="F20" i="1000" s="1"/>
  <c r="F21" i="1000" s="1" a="1"/>
  <c r="F21" i="1000" s="1"/>
  <c r="F22" i="1000" s="1" a="1"/>
  <c r="F22" i="1000" s="1"/>
  <c r="F23" i="1000" s="1" a="1"/>
  <c r="F23" i="1000" s="1"/>
  <c r="F24" i="1000" s="1" a="1"/>
  <c r="F24" i="1000" s="1"/>
  <c r="F25" i="1000" s="1" a="1"/>
  <c r="F25" i="1000" s="1"/>
  <c r="F26" i="1000" s="1" a="1"/>
  <c r="F26" i="1000" s="1"/>
  <c r="F27" i="1000" s="1" a="1"/>
  <c r="F27" i="1000" s="1"/>
  <c r="F28" i="1000" s="1" a="1"/>
  <c r="F28" i="1000" s="1"/>
  <c r="F29" i="1000" s="1" a="1"/>
  <c r="F29" i="1000" s="1"/>
  <c r="F30" i="1000" s="1" a="1"/>
  <c r="F30" i="1000" s="1"/>
  <c r="F31" i="1000" s="1" a="1"/>
  <c r="F31" i="1000" s="1"/>
  <c r="F32" i="1000" s="1" a="1"/>
  <c r="F32" i="1000" s="1"/>
  <c r="F33" i="1000" s="1" a="1"/>
  <c r="F33" i="1000" s="1"/>
  <c r="F34" i="1000" s="1" a="1"/>
  <c r="F34" i="1000" s="1"/>
  <c r="F35" i="1000" s="1" a="1"/>
  <c r="F35" i="1000" s="1"/>
  <c r="F36" i="1000" s="1" a="1"/>
  <c r="F36" i="1000" s="1"/>
  <c r="F37" i="1000" s="1" a="1"/>
  <c r="F37" i="1000" s="1"/>
  <c r="F15" i="1002" a="1"/>
  <c r="F15" i="1002" s="1"/>
  <c r="F16" i="1002" s="1" a="1"/>
  <c r="F16" i="1002" s="1"/>
  <c r="F18" i="999" a="1"/>
  <c r="F18" i="999" s="1"/>
  <c r="F19" i="999" s="1" a="1"/>
  <c r="F19" i="999" s="1"/>
  <c r="F20" i="999" s="1" a="1"/>
  <c r="F20" i="999" s="1"/>
  <c r="F21" i="999" s="1" a="1"/>
  <c r="F21" i="999" s="1"/>
  <c r="C16" i="1001" a="1"/>
  <c r="C16" i="1001" s="1"/>
  <c r="C17" i="1001" s="1" a="1"/>
  <c r="C17" i="1001" s="1"/>
  <c r="C18" i="1001" s="1" a="1"/>
  <c r="C18" i="1001" s="1"/>
  <c r="C19" i="1001" s="1" a="1"/>
  <c r="C19" i="1001" s="1"/>
  <c r="C20" i="1001" s="1" a="1"/>
  <c r="C20" i="1001" s="1"/>
  <c r="C21" i="1001" s="1" a="1"/>
  <c r="C21" i="1001" s="1"/>
  <c r="C22" i="1001" s="1" a="1"/>
  <c r="C22" i="1001" s="1"/>
  <c r="C23" i="1001" s="1" a="1"/>
  <c r="C23" i="1001" s="1"/>
  <c r="C24" i="1001" s="1" a="1"/>
  <c r="C24" i="1001" s="1"/>
  <c r="C25" i="1001" s="1" a="1"/>
  <c r="C25" i="1001" s="1"/>
  <c r="C26" i="1001" s="1" a="1"/>
  <c r="C26" i="1001" s="1"/>
  <c r="C27" i="1001" s="1" a="1"/>
  <c r="C27" i="1001" s="1"/>
  <c r="C28" i="1001" s="1" a="1"/>
  <c r="C28" i="1001" s="1"/>
  <c r="C29" i="1001" s="1" a="1"/>
  <c r="C29" i="1001" s="1"/>
  <c r="C30" i="1001" s="1" a="1"/>
  <c r="C30" i="1001" s="1"/>
  <c r="C31" i="1001" s="1" a="1"/>
  <c r="C31" i="1001" s="1"/>
  <c r="C32" i="1001" s="1" a="1"/>
  <c r="C32" i="1001" s="1"/>
  <c r="N21" i="992" a="1"/>
  <c r="N21" i="992" s="1"/>
  <c r="N22" i="992" s="1" a="1"/>
  <c r="N22" i="992" s="1"/>
  <c r="N23" i="992" s="1" a="1"/>
  <c r="N23" i="992" s="1"/>
  <c r="N24" i="992" s="1" a="1"/>
  <c r="N24" i="992" s="1"/>
  <c r="N25" i="992" s="1" a="1"/>
  <c r="N25" i="992" s="1"/>
  <c r="N26" i="992" s="1" a="1"/>
  <c r="N26" i="992" s="1"/>
  <c r="N27" i="992" s="1" a="1"/>
  <c r="N27" i="992" s="1"/>
  <c r="N28" i="992" s="1" a="1"/>
  <c r="N28" i="992" s="1"/>
  <c r="N29" i="992" s="1" a="1"/>
  <c r="N29" i="992" s="1"/>
  <c r="N30" i="992" s="1" a="1"/>
  <c r="N30" i="992" s="1"/>
  <c r="N31" i="992" s="1" a="1"/>
  <c r="N31" i="992" s="1"/>
  <c r="N32" i="992" s="1" a="1"/>
  <c r="N32" i="992" s="1"/>
  <c r="N33" i="992" s="1" a="1"/>
  <c r="N33" i="992" s="1"/>
  <c r="N34" i="992" s="1" a="1"/>
  <c r="N34" i="992" s="1"/>
  <c r="N35" i="992" s="1" a="1"/>
  <c r="N35" i="992" s="1"/>
  <c r="N36" i="992" s="1" a="1"/>
  <c r="N36" i="992" s="1"/>
  <c r="N37" i="992" s="1" a="1"/>
  <c r="N37" i="992" s="1"/>
  <c r="N16" i="999" a="1"/>
  <c r="N16" i="999" s="1"/>
  <c r="N18" i="1000" a="1"/>
  <c r="N18" i="1000" s="1"/>
  <c r="N19" i="1000" s="1" a="1"/>
  <c r="N19" i="1000" s="1"/>
  <c r="J15" i="1003" a="1"/>
  <c r="J15" i="1003" s="1"/>
  <c r="J17" i="999" a="1"/>
  <c r="J17" i="999" s="1"/>
  <c r="J18" i="999" s="1" a="1"/>
  <c r="J18" i="999" s="1"/>
  <c r="F15" i="1003" a="1"/>
  <c r="F15" i="1003" s="1"/>
  <c r="C14" i="1003" a="1"/>
  <c r="C14" i="1003" s="1"/>
  <c r="H21" i="1000" a="1"/>
  <c r="H21" i="1000" s="1"/>
  <c r="H22" i="1000" s="1" a="1"/>
  <c r="H22" i="1000" s="1"/>
  <c r="H23" i="1000" s="1" a="1"/>
  <c r="H23" i="1000" s="1"/>
  <c r="H24" i="1000" s="1" a="1"/>
  <c r="H24" i="1000" s="1"/>
  <c r="H25" i="1000" s="1" a="1"/>
  <c r="H25" i="1000" s="1"/>
  <c r="H26" i="1000" s="1" a="1"/>
  <c r="H26" i="1000" s="1"/>
  <c r="H27" i="1000" s="1" a="1"/>
  <c r="H27" i="1000" s="1"/>
  <c r="H28" i="1000" s="1" a="1"/>
  <c r="H28" i="1000" s="1"/>
  <c r="H29" i="1000" s="1" a="1"/>
  <c r="H29" i="1000" s="1"/>
  <c r="H30" i="1000" s="1" a="1"/>
  <c r="H30" i="1000" s="1"/>
  <c r="H31" i="1000" s="1" a="1"/>
  <c r="H31" i="1000" s="1"/>
  <c r="H32" i="1000" s="1" a="1"/>
  <c r="H32" i="1000" s="1"/>
  <c r="H33" i="1000" s="1" a="1"/>
  <c r="H33" i="1000" s="1"/>
  <c r="H34" i="1000" s="1" a="1"/>
  <c r="H34" i="1000" s="1"/>
  <c r="H35" i="1000" s="1" a="1"/>
  <c r="H35" i="1000" s="1"/>
  <c r="H36" i="1000" s="1" a="1"/>
  <c r="H36" i="1000" s="1"/>
  <c r="H37" i="1000" s="1" a="1"/>
  <c r="H37" i="1000" s="1"/>
  <c r="N16" i="1002" a="1"/>
  <c r="N16" i="1002" s="1"/>
  <c r="N17" i="1002" s="1" a="1"/>
  <c r="N17" i="1002" s="1"/>
  <c r="N18" i="1002" s="1" a="1"/>
  <c r="N18" i="1002" s="1"/>
  <c r="N19" i="1002" s="1" a="1"/>
  <c r="N19" i="1002" s="1"/>
  <c r="N20" i="1002" s="1" a="1"/>
  <c r="N20" i="1002" s="1"/>
  <c r="N21" i="1002" s="1" a="1"/>
  <c r="N21" i="1002" s="1"/>
  <c r="N22" i="1002" s="1" a="1"/>
  <c r="N22" i="1002" s="1"/>
  <c r="J19" i="1000" a="1"/>
  <c r="J19" i="1000" s="1"/>
  <c r="H16" i="1001" a="1"/>
  <c r="H16" i="1001" s="1"/>
  <c r="J17" i="1001" a="1"/>
  <c r="J17" i="1001" s="1"/>
  <c r="J18" i="1001" s="1" a="1"/>
  <c r="J18" i="1001" s="1"/>
  <c r="J19" i="1001" s="1" a="1"/>
  <c r="J19" i="1001" s="1"/>
  <c r="H17" i="999" a="1"/>
  <c r="H17" i="999" s="1"/>
  <c r="H18" i="999" s="1" a="1"/>
  <c r="H18" i="999" s="1"/>
  <c r="H19" i="999" s="1" a="1"/>
  <c r="H19" i="999" s="1"/>
  <c r="H20" i="999" s="1" a="1"/>
  <c r="H20" i="999" s="1"/>
  <c r="H21" i="999" s="1" a="1"/>
  <c r="H21" i="999" s="1"/>
  <c r="H22" i="999" s="1" a="1"/>
  <c r="H22" i="999" s="1"/>
  <c r="H23" i="999" s="1" a="1"/>
  <c r="H23" i="999" s="1"/>
  <c r="H24" i="999" s="1" a="1"/>
  <c r="H24" i="999" s="1"/>
  <c r="H25" i="999" s="1" a="1"/>
  <c r="H25" i="999" s="1"/>
  <c r="H26" i="999" s="1" a="1"/>
  <c r="H26" i="999" s="1"/>
  <c r="H27" i="999" s="1" a="1"/>
  <c r="H27" i="999" s="1"/>
  <c r="H28" i="999" s="1" a="1"/>
  <c r="H28" i="999" s="1"/>
  <c r="H29" i="999" s="1" a="1"/>
  <c r="H29" i="999" s="1"/>
  <c r="H30" i="999" s="1" a="1"/>
  <c r="H30" i="999" s="1"/>
  <c r="H31" i="999" s="1" a="1"/>
  <c r="H31" i="999" s="1"/>
  <c r="H32" i="999" s="1" a="1"/>
  <c r="H32" i="999" s="1"/>
  <c r="H33" i="999" s="1" a="1"/>
  <c r="H33" i="999" s="1"/>
  <c r="H34" i="999" s="1" a="1"/>
  <c r="H34" i="999" s="1"/>
  <c r="H35" i="999" s="1" a="1"/>
  <c r="H35" i="999" s="1"/>
  <c r="H36" i="999" s="1" a="1"/>
  <c r="H36" i="999" s="1"/>
  <c r="H37" i="999" s="1" a="1"/>
  <c r="H37" i="999" s="1"/>
  <c r="N28" i="1003" l="1" a="1"/>
  <c r="N28" i="1003" s="1"/>
  <c r="N29" i="1003" s="1" a="1"/>
  <c r="N29" i="1003" s="1"/>
  <c r="N30" i="1003" s="1" a="1"/>
  <c r="N30" i="1003" s="1"/>
  <c r="N31" i="1003" s="1" a="1"/>
  <c r="N31" i="1003" s="1"/>
  <c r="N32" i="1003" s="1" a="1"/>
  <c r="N32" i="1003" s="1"/>
  <c r="N33" i="1003" s="1" a="1"/>
  <c r="N33" i="1003" s="1"/>
  <c r="N34" i="1003" s="1" a="1"/>
  <c r="N34" i="1003" s="1"/>
  <c r="N20" i="1000" a="1"/>
  <c r="N20" i="1000" s="1"/>
  <c r="N21" i="1000" s="1" a="1"/>
  <c r="N21" i="1000" s="1"/>
  <c r="N22" i="1000" s="1" a="1"/>
  <c r="N22" i="1000" s="1"/>
  <c r="N23" i="1000" s="1" a="1"/>
  <c r="N23" i="1000" s="1"/>
  <c r="F22" i="999" a="1"/>
  <c r="F22" i="999" s="1"/>
  <c r="F23" i="999" s="1" a="1"/>
  <c r="F23" i="999" s="1"/>
  <c r="F24" i="999" s="1" a="1"/>
  <c r="F24" i="999" s="1"/>
  <c r="F25" i="999" s="1" a="1"/>
  <c r="F25" i="999" s="1"/>
  <c r="F26" i="999" s="1" a="1"/>
  <c r="F26" i="999" s="1"/>
  <c r="F27" i="999" s="1" a="1"/>
  <c r="F27" i="999" s="1"/>
  <c r="F28" i="999" s="1" a="1"/>
  <c r="F28" i="999" s="1"/>
  <c r="F29" i="999" s="1" a="1"/>
  <c r="F29" i="999" s="1"/>
  <c r="F30" i="999" s="1" a="1"/>
  <c r="F30" i="999" s="1"/>
  <c r="F31" i="999" s="1" a="1"/>
  <c r="F31" i="999" s="1"/>
  <c r="F32" i="999" s="1" a="1"/>
  <c r="F32" i="999" s="1"/>
  <c r="F33" i="999" s="1" a="1"/>
  <c r="F33" i="999" s="1"/>
  <c r="F20" i="992" a="1"/>
  <c r="F20" i="992" s="1"/>
  <c r="F21" i="992" s="1" a="1"/>
  <c r="F21" i="992" s="1"/>
  <c r="F22" i="992" s="1" a="1"/>
  <c r="F22" i="992" s="1"/>
  <c r="F23" i="992" s="1" a="1"/>
  <c r="F23" i="992" s="1"/>
  <c r="F24" i="992" s="1" a="1"/>
  <c r="F24" i="992" s="1"/>
  <c r="F25" i="992" s="1" a="1"/>
  <c r="F25" i="992" s="1"/>
  <c r="F26" i="992" s="1" a="1"/>
  <c r="F26" i="992" s="1"/>
  <c r="F27" i="992" s="1" a="1"/>
  <c r="F27" i="992" s="1"/>
  <c r="J20" i="1001" a="1"/>
  <c r="J20" i="1001" s="1"/>
  <c r="J21" i="1001" s="1" a="1"/>
  <c r="J21" i="1001" s="1"/>
  <c r="J22" i="1001" s="1" a="1"/>
  <c r="J22" i="1001" s="1"/>
  <c r="J23" i="1001" s="1" a="1"/>
  <c r="J23" i="1001" s="1"/>
  <c r="J24" i="1001" s="1" a="1"/>
  <c r="J24" i="1001" s="1"/>
  <c r="J25" i="1001" s="1" a="1"/>
  <c r="J25" i="1001" s="1"/>
  <c r="J26" i="1001" s="1" a="1"/>
  <c r="J26" i="1001" s="1"/>
  <c r="L17" i="1001" a="1"/>
  <c r="L17" i="1001" s="1"/>
  <c r="F34" i="1001" a="1"/>
  <c r="F34" i="1001" s="1"/>
  <c r="F35" i="1001" s="1" a="1"/>
  <c r="F35" i="1001" s="1"/>
  <c r="F36" i="1001" s="1" a="1"/>
  <c r="F36" i="1001" s="1"/>
  <c r="F37" i="1001" s="1" a="1"/>
  <c r="F37" i="1001" s="1"/>
  <c r="J20" i="992" a="1"/>
  <c r="J20" i="992" s="1"/>
  <c r="J21" i="992" s="1" a="1"/>
  <c r="J21" i="992" s="1"/>
  <c r="J22" i="992" s="1" a="1"/>
  <c r="J22" i="992" s="1"/>
  <c r="J23" i="992" s="1" a="1"/>
  <c r="J23" i="992" s="1"/>
  <c r="J24" i="992" s="1" a="1"/>
  <c r="J24" i="992" s="1"/>
  <c r="J25" i="992" s="1" a="1"/>
  <c r="J25" i="992" s="1"/>
  <c r="J26" i="992" s="1" a="1"/>
  <c r="J26" i="992" s="1"/>
  <c r="J27" i="992" s="1" a="1"/>
  <c r="J27" i="992" s="1"/>
  <c r="J28" i="992" s="1" a="1"/>
  <c r="J28" i="992" s="1"/>
  <c r="J29" i="992" s="1" a="1"/>
  <c r="J29" i="992" s="1"/>
  <c r="J30" i="992" s="1" a="1"/>
  <c r="J30" i="992" s="1"/>
  <c r="J31" i="992" s="1" a="1"/>
  <c r="J31" i="992" s="1"/>
  <c r="J32" i="992" s="1" a="1"/>
  <c r="J32" i="992" s="1"/>
  <c r="J33" i="992" s="1" a="1"/>
  <c r="J33" i="992" s="1"/>
  <c r="J34" i="992" s="1" a="1"/>
  <c r="J34" i="992" s="1"/>
  <c r="J35" i="992" s="1" a="1"/>
  <c r="J35" i="992" s="1"/>
  <c r="J36" i="992" s="1" a="1"/>
  <c r="J36" i="992" s="1"/>
  <c r="J37" i="992" s="1" a="1"/>
  <c r="J37" i="992" s="1"/>
  <c r="H17" i="1002" a="1"/>
  <c r="H17" i="1002" s="1"/>
  <c r="H18" i="1002" s="1" a="1"/>
  <c r="H18" i="1002" s="1"/>
  <c r="H19" i="1002" s="1" a="1"/>
  <c r="H19" i="1002" s="1"/>
  <c r="H20" i="1002" s="1" a="1"/>
  <c r="H20" i="1002" s="1"/>
  <c r="F17" i="1002" a="1"/>
  <c r="F17" i="1002" s="1"/>
  <c r="F18" i="1002" s="1" a="1"/>
  <c r="F18" i="1002" s="1"/>
  <c r="F19" i="1002" s="1" a="1"/>
  <c r="F19" i="1002" s="1"/>
  <c r="F20" i="1002" s="1" a="1"/>
  <c r="F20" i="1002" s="1"/>
  <c r="F21" i="1002" s="1" a="1"/>
  <c r="F21" i="1002" s="1"/>
  <c r="F22" i="1002" s="1" a="1"/>
  <c r="F22" i="1002" s="1"/>
  <c r="F23" i="1002" s="1" a="1"/>
  <c r="F23" i="1002" s="1"/>
  <c r="F24" i="1002" s="1" a="1"/>
  <c r="F24" i="1002" s="1"/>
  <c r="F25" i="1002" s="1" a="1"/>
  <c r="F25" i="1002" s="1"/>
  <c r="F26" i="1002" s="1" a="1"/>
  <c r="F26" i="1002" s="1"/>
  <c r="F27" i="1002" s="1" a="1"/>
  <c r="F27" i="1002" s="1"/>
  <c r="F28" i="1002" s="1" a="1"/>
  <c r="F28" i="1002" s="1"/>
  <c r="F29" i="1002" s="1" a="1"/>
  <c r="F29" i="1002" s="1"/>
  <c r="F30" i="1002" s="1" a="1"/>
  <c r="F30" i="1002" s="1"/>
  <c r="F31" i="1002" s="1" a="1"/>
  <c r="F31" i="1002" s="1"/>
  <c r="L16" i="992" a="1"/>
  <c r="L16" i="992" s="1"/>
  <c r="L18" i="1002" a="1"/>
  <c r="L18" i="1002" s="1"/>
  <c r="L17" i="999" a="1"/>
  <c r="L17" i="999" s="1"/>
  <c r="L18" i="999" s="1" a="1"/>
  <c r="L18" i="999" s="1"/>
  <c r="L15" i="1003" a="1"/>
  <c r="L15" i="1003" s="1"/>
  <c r="L16" i="1003" s="1" a="1"/>
  <c r="L16" i="1003" s="1"/>
  <c r="L17" i="1003" s="1" a="1"/>
  <c r="L17" i="1003" s="1"/>
  <c r="L14" i="1000" a="1"/>
  <c r="L14" i="1000" s="1"/>
  <c r="N18" i="1001" a="1"/>
  <c r="N18" i="1001" s="1"/>
  <c r="N19" i="1001" s="1" a="1"/>
  <c r="N19" i="1001" s="1"/>
  <c r="N20" i="1001" s="1" a="1"/>
  <c r="N20" i="1001" s="1"/>
  <c r="N21" i="1001" s="1" a="1"/>
  <c r="N21" i="1001" s="1"/>
  <c r="N22" i="1001" s="1" a="1"/>
  <c r="N22" i="1001" s="1"/>
  <c r="N23" i="1001" s="1" a="1"/>
  <c r="N23" i="1001" s="1"/>
  <c r="N24" i="1001" s="1" a="1"/>
  <c r="N24" i="1001" s="1"/>
  <c r="N25" i="1001" s="1" a="1"/>
  <c r="N25" i="1001" s="1"/>
  <c r="N26" i="1001" s="1" a="1"/>
  <c r="N26" i="1001" s="1"/>
  <c r="N27" i="1001" s="1" a="1"/>
  <c r="N27" i="1001" s="1"/>
  <c r="N28" i="1001" s="1" a="1"/>
  <c r="N28" i="1001" s="1"/>
  <c r="N29" i="1001" s="1" a="1"/>
  <c r="N29" i="1001" s="1"/>
  <c r="N30" i="1001" s="1" a="1"/>
  <c r="N30" i="1001" s="1"/>
  <c r="N31" i="1001" s="1" a="1"/>
  <c r="N31" i="1001" s="1"/>
  <c r="N32" i="1001" s="1" a="1"/>
  <c r="N32" i="1001" s="1"/>
  <c r="N33" i="1001" s="1" a="1"/>
  <c r="N33" i="1001" s="1"/>
  <c r="N34" i="1001" s="1" a="1"/>
  <c r="N34" i="1001" s="1"/>
  <c r="N35" i="1001" s="1" a="1"/>
  <c r="N35" i="1001" s="1"/>
  <c r="N36" i="1001" s="1" a="1"/>
  <c r="N36" i="1001" s="1"/>
  <c r="N37" i="1001" s="1" a="1"/>
  <c r="N37" i="1001" s="1"/>
  <c r="J20" i="1002" a="1"/>
  <c r="J20" i="1002" s="1"/>
  <c r="J21" i="1002" s="1" a="1"/>
  <c r="J21" i="1002" s="1"/>
  <c r="J22" i="1002" s="1" a="1"/>
  <c r="J22" i="1002" s="1"/>
  <c r="J23" i="1002" s="1" a="1"/>
  <c r="J23" i="1002" s="1"/>
  <c r="J24" i="1002" s="1" a="1"/>
  <c r="J24" i="1002" s="1"/>
  <c r="J25" i="1002" s="1" a="1"/>
  <c r="J25" i="1002" s="1"/>
  <c r="J26" i="1002" s="1" a="1"/>
  <c r="J26" i="1002" s="1"/>
  <c r="J27" i="1002" s="1" a="1"/>
  <c r="J27" i="1002" s="1"/>
  <c r="J28" i="1002" s="1" a="1"/>
  <c r="J28" i="1002" s="1"/>
  <c r="J29" i="1002" s="1" a="1"/>
  <c r="J29" i="1002" s="1"/>
  <c r="J30" i="1002" s="1" a="1"/>
  <c r="J30" i="1002" s="1"/>
  <c r="J31" i="1002" s="1" a="1"/>
  <c r="J31" i="1002" s="1"/>
  <c r="J32" i="1002" s="1" a="1"/>
  <c r="J32" i="1002" s="1"/>
  <c r="J33" i="1002" s="1" a="1"/>
  <c r="J33" i="1002" s="1"/>
  <c r="C15" i="1003" a="1"/>
  <c r="C15" i="1003" s="1"/>
  <c r="C16" i="1003" s="1" a="1"/>
  <c r="C16" i="1003" s="1"/>
  <c r="C17" i="1003" s="1" a="1"/>
  <c r="C17" i="1003" s="1"/>
  <c r="C18" i="1003" s="1" a="1"/>
  <c r="C18" i="1003" s="1"/>
  <c r="C19" i="1003" s="1" a="1"/>
  <c r="C19" i="1003" s="1"/>
  <c r="C20" i="1003" s="1" a="1"/>
  <c r="C20" i="1003" s="1"/>
  <c r="C21" i="1003" s="1" a="1"/>
  <c r="C21" i="1003" s="1"/>
  <c r="C22" i="1003" s="1" a="1"/>
  <c r="C22" i="1003" s="1"/>
  <c r="C23" i="1003" s="1" a="1"/>
  <c r="C23" i="1003" s="1"/>
  <c r="C24" i="1003" s="1" a="1"/>
  <c r="C24" i="1003" s="1"/>
  <c r="C25" i="1003" s="1" a="1"/>
  <c r="C25" i="1003" s="1"/>
  <c r="J16" i="1003" a="1"/>
  <c r="J16" i="1003" s="1"/>
  <c r="J17" i="1003" s="1" a="1"/>
  <c r="J17" i="1003" s="1"/>
  <c r="J18" i="1003" s="1" a="1"/>
  <c r="J18" i="1003" s="1"/>
  <c r="J19" i="1003" s="1" a="1"/>
  <c r="J19" i="1003" s="1"/>
  <c r="J20" i="1003" s="1" a="1"/>
  <c r="J20" i="1003" s="1"/>
  <c r="J19" i="999" a="1"/>
  <c r="J19" i="999" s="1"/>
  <c r="N17" i="999" a="1"/>
  <c r="N17" i="999" s="1"/>
  <c r="N18" i="999" s="1" a="1"/>
  <c r="N18" i="999" s="1"/>
  <c r="N19" i="999" s="1" a="1"/>
  <c r="N19" i="999" s="1"/>
  <c r="N20" i="999" s="1" a="1"/>
  <c r="N20" i="999" s="1"/>
  <c r="N21" i="999" s="1" a="1"/>
  <c r="N21" i="999" s="1"/>
  <c r="N22" i="999" s="1" a="1"/>
  <c r="N22" i="999" s="1"/>
  <c r="N23" i="999" s="1" a="1"/>
  <c r="N23" i="999" s="1"/>
  <c r="C33" i="1001" a="1"/>
  <c r="C33" i="1001" s="1"/>
  <c r="C34" i="1001" s="1" a="1"/>
  <c r="C34" i="1001" s="1"/>
  <c r="C35" i="1001" s="1" a="1"/>
  <c r="C35" i="1001" s="1"/>
  <c r="C36" i="1001" s="1" a="1"/>
  <c r="C36" i="1001" s="1"/>
  <c r="C37" i="1001" s="1" a="1"/>
  <c r="C37" i="1001" s="1"/>
  <c r="N23" i="1002" a="1"/>
  <c r="N23" i="1002" s="1"/>
  <c r="N24" i="1002" s="1" a="1"/>
  <c r="N24" i="1002" s="1"/>
  <c r="N25" i="1002" s="1" a="1"/>
  <c r="N25" i="1002" s="1"/>
  <c r="N26" i="1002" s="1" a="1"/>
  <c r="N26" i="1002" s="1"/>
  <c r="N27" i="1002" s="1" a="1"/>
  <c r="N27" i="1002" s="1"/>
  <c r="N28" i="1002" s="1" a="1"/>
  <c r="N28" i="1002" s="1"/>
  <c r="N29" i="1002" s="1" a="1"/>
  <c r="N29" i="1002" s="1"/>
  <c r="N30" i="1002" s="1" a="1"/>
  <c r="N30" i="1002" s="1"/>
  <c r="N31" i="1002" s="1" a="1"/>
  <c r="N31" i="1002" s="1"/>
  <c r="N32" i="1002" s="1" a="1"/>
  <c r="N32" i="1002" s="1"/>
  <c r="N33" i="1002" s="1" a="1"/>
  <c r="N33" i="1002" s="1"/>
  <c r="N34" i="1002" s="1" a="1"/>
  <c r="N34" i="1002" s="1"/>
  <c r="N35" i="1002" s="1" a="1"/>
  <c r="N35" i="1002" s="1"/>
  <c r="N36" i="1002" s="1" a="1"/>
  <c r="N36" i="1002" s="1"/>
  <c r="N37" i="1002" s="1" a="1"/>
  <c r="N37" i="1002" s="1"/>
  <c r="H17" i="1001" a="1"/>
  <c r="H17" i="1001" s="1"/>
  <c r="H18" i="1001" s="1" a="1"/>
  <c r="H18" i="1001" s="1"/>
  <c r="H19" i="1001" s="1" a="1"/>
  <c r="H19" i="1001" s="1"/>
  <c r="H20" i="1001" s="1" a="1"/>
  <c r="H20" i="1001" s="1"/>
  <c r="H21" i="1001" s="1" a="1"/>
  <c r="H21" i="1001" s="1"/>
  <c r="H22" i="1001" s="1" a="1"/>
  <c r="H22" i="1001" s="1"/>
  <c r="H23" i="1001" s="1" a="1"/>
  <c r="H23" i="1001" s="1"/>
  <c r="H24" i="1001" s="1" a="1"/>
  <c r="H24" i="1001" s="1"/>
  <c r="H25" i="1001" s="1" a="1"/>
  <c r="H25" i="1001" s="1"/>
  <c r="H26" i="1001" s="1" a="1"/>
  <c r="H26" i="1001" s="1"/>
  <c r="H27" i="1001" s="1" a="1"/>
  <c r="H27" i="1001" s="1"/>
  <c r="H28" i="1001" s="1" a="1"/>
  <c r="H28" i="1001" s="1"/>
  <c r="H29" i="1001" s="1" a="1"/>
  <c r="H29" i="1001" s="1"/>
  <c r="H30" i="1001" s="1" a="1"/>
  <c r="H30" i="1001" s="1"/>
  <c r="H31" i="1001" s="1" a="1"/>
  <c r="H31" i="1001" s="1"/>
  <c r="H32" i="1001" s="1" a="1"/>
  <c r="H32" i="1001" s="1"/>
  <c r="H33" i="1001" s="1" a="1"/>
  <c r="H33" i="1001" s="1"/>
  <c r="H34" i="1001" s="1" a="1"/>
  <c r="H34" i="1001" s="1"/>
  <c r="H35" i="1001" s="1" a="1"/>
  <c r="H35" i="1001" s="1"/>
  <c r="H36" i="1001" s="1" a="1"/>
  <c r="H36" i="1001" s="1"/>
  <c r="H37" i="1001" s="1" a="1"/>
  <c r="H37" i="1001" s="1"/>
  <c r="F16" i="1003" a="1"/>
  <c r="F16" i="1003" s="1"/>
  <c r="P27" i="999" a="1"/>
  <c r="P27" i="999" s="1"/>
  <c r="P28" i="999" s="1" a="1"/>
  <c r="P28" i="999" s="1"/>
  <c r="P29" i="999" s="1" a="1"/>
  <c r="P29" i="999" s="1"/>
  <c r="P30" i="999" s="1" a="1"/>
  <c r="P30" i="999" s="1"/>
  <c r="P31" i="999" s="1" a="1"/>
  <c r="P31" i="999" s="1"/>
  <c r="P32" i="999" s="1" a="1"/>
  <c r="P32" i="999" s="1"/>
  <c r="P33" i="999" s="1" a="1"/>
  <c r="P33" i="999" s="1"/>
  <c r="P34" i="999" s="1" a="1"/>
  <c r="P34" i="999" s="1"/>
  <c r="P35" i="999" s="1" a="1"/>
  <c r="P35" i="999" s="1"/>
  <c r="P36" i="999" s="1" a="1"/>
  <c r="P36" i="999" s="1"/>
  <c r="P37" i="999" s="1" a="1"/>
  <c r="P37" i="999" s="1"/>
  <c r="J20" i="1000" a="1"/>
  <c r="J20" i="1000" s="1"/>
  <c r="J21" i="1000" s="1" a="1"/>
  <c r="J21" i="1000" s="1"/>
  <c r="J22" i="1000" s="1" a="1"/>
  <c r="J22" i="1000" s="1"/>
  <c r="J23" i="1000" s="1" a="1"/>
  <c r="J23" i="1000" s="1"/>
  <c r="J24" i="1000" s="1" a="1"/>
  <c r="J24" i="1000" s="1"/>
  <c r="J25" i="1000" s="1" a="1"/>
  <c r="J25" i="1000" s="1"/>
  <c r="J26" i="1000" s="1" a="1"/>
  <c r="J26" i="1000" s="1"/>
  <c r="J27" i="1000" s="1" a="1"/>
  <c r="J27" i="1000" s="1"/>
  <c r="J28" i="1000" s="1" a="1"/>
  <c r="J28" i="1000" s="1"/>
  <c r="J29" i="1000" s="1" a="1"/>
  <c r="J29" i="1000" s="1"/>
  <c r="J30" i="1000" s="1" a="1"/>
  <c r="J30" i="1000" s="1"/>
  <c r="J31" i="1000" s="1" a="1"/>
  <c r="J31" i="1000" s="1"/>
  <c r="J32" i="1000" s="1" a="1"/>
  <c r="J32" i="1000" s="1"/>
  <c r="J33" i="1000" s="1" a="1"/>
  <c r="J33" i="1000" s="1"/>
  <c r="J34" i="1000" s="1" a="1"/>
  <c r="J34" i="1000" s="1"/>
  <c r="J35" i="1000" s="1" a="1"/>
  <c r="J35" i="1000" s="1"/>
  <c r="C18" i="999" a="1"/>
  <c r="C18" i="999" s="1"/>
  <c r="C19" i="999" s="1" a="1"/>
  <c r="C19" i="999" s="1"/>
  <c r="C20" i="999" s="1" a="1"/>
  <c r="C20" i="999" s="1"/>
  <c r="C21" i="999" s="1" a="1"/>
  <c r="C21" i="999" s="1"/>
  <c r="C22" i="999" s="1" a="1"/>
  <c r="C22" i="999" s="1"/>
  <c r="C23" i="999" s="1" a="1"/>
  <c r="C23" i="999" s="1"/>
  <c r="C24" i="999" s="1" a="1"/>
  <c r="C24" i="999" s="1"/>
  <c r="C25" i="999" s="1" a="1"/>
  <c r="C25" i="999" s="1"/>
  <c r="C26" i="999" s="1" a="1"/>
  <c r="C26" i="999" s="1"/>
  <c r="C27" i="999" s="1" a="1"/>
  <c r="C27" i="999" s="1"/>
  <c r="C28" i="999" s="1" a="1"/>
  <c r="C28" i="999" s="1"/>
  <c r="C29" i="999" s="1" a="1"/>
  <c r="C29" i="999" s="1"/>
  <c r="C30" i="999" s="1" a="1"/>
  <c r="C30" i="999" s="1"/>
  <c r="C31" i="999" s="1" a="1"/>
  <c r="C31" i="999" s="1"/>
  <c r="C32" i="999" s="1" a="1"/>
  <c r="C32" i="999" s="1"/>
  <c r="C33" i="999" s="1" a="1"/>
  <c r="C33" i="999" s="1"/>
  <c r="C34" i="999" s="1" a="1"/>
  <c r="C34" i="999" s="1"/>
  <c r="C35" i="999" s="1" a="1"/>
  <c r="C35" i="999" s="1"/>
  <c r="C36" i="999" s="1" a="1"/>
  <c r="C36" i="999" s="1"/>
  <c r="C37" i="999" s="1" a="1"/>
  <c r="C37" i="999" s="1"/>
  <c r="J21" i="1003" l="1" a="1"/>
  <c r="J21" i="1003" s="1"/>
  <c r="J22" i="1003" s="1" a="1"/>
  <c r="J22" i="1003" s="1"/>
  <c r="J23" i="1003" s="1" a="1"/>
  <c r="J23" i="1003" s="1"/>
  <c r="J24" i="1003" s="1" a="1"/>
  <c r="J24" i="1003" s="1"/>
  <c r="J25" i="1003" s="1" a="1"/>
  <c r="J25" i="1003" s="1"/>
  <c r="J26" i="1003" s="1" a="1"/>
  <c r="J26" i="1003" s="1"/>
  <c r="J27" i="1003" s="1" a="1"/>
  <c r="J27" i="1003" s="1"/>
  <c r="J28" i="1003" s="1" a="1"/>
  <c r="J28" i="1003" s="1"/>
  <c r="J29" i="1003" s="1" a="1"/>
  <c r="J29" i="1003" s="1"/>
  <c r="J30" i="1003" s="1" a="1"/>
  <c r="J30" i="1003" s="1"/>
  <c r="J27" i="1001" a="1"/>
  <c r="J27" i="1001" s="1"/>
  <c r="J28" i="1001" s="1" a="1"/>
  <c r="J28" i="1001" s="1"/>
  <c r="J29" i="1001" s="1" a="1"/>
  <c r="J29" i="1001" s="1"/>
  <c r="J30" i="1001" s="1" a="1"/>
  <c r="J30" i="1001" s="1"/>
  <c r="J31" i="1001" s="1" a="1"/>
  <c r="J31" i="1001" s="1"/>
  <c r="J32" i="1001" s="1" a="1"/>
  <c r="J32" i="1001" s="1"/>
  <c r="J34" i="1002" a="1"/>
  <c r="J34" i="1002" s="1"/>
  <c r="J35" i="1002" s="1" a="1"/>
  <c r="J35" i="1002" s="1"/>
  <c r="J36" i="1002" s="1" a="1"/>
  <c r="J36" i="1002" s="1"/>
  <c r="J37" i="1002" s="1" a="1"/>
  <c r="J37" i="1002" s="1"/>
  <c r="H21" i="1002" a="1"/>
  <c r="H21" i="1002" s="1"/>
  <c r="H22" i="1002" s="1" a="1"/>
  <c r="H22" i="1002" s="1"/>
  <c r="H23" i="1002" s="1" a="1"/>
  <c r="H23" i="1002" s="1"/>
  <c r="H24" i="1002" s="1" a="1"/>
  <c r="H24" i="1002" s="1"/>
  <c r="H25" i="1002" s="1" a="1"/>
  <c r="H25" i="1002" s="1"/>
  <c r="H26" i="1002" s="1" a="1"/>
  <c r="H26" i="1002" s="1"/>
  <c r="H27" i="1002" s="1" a="1"/>
  <c r="H27" i="1002" s="1"/>
  <c r="H28" i="1002" s="1" a="1"/>
  <c r="H28" i="1002" s="1"/>
  <c r="H29" i="1002" s="1" a="1"/>
  <c r="H29" i="1002" s="1"/>
  <c r="H30" i="1002" s="1" a="1"/>
  <c r="H30" i="1002" s="1"/>
  <c r="H31" i="1002" s="1" a="1"/>
  <c r="H31" i="1002" s="1"/>
  <c r="H32" i="1002" s="1" a="1"/>
  <c r="H32" i="1002" s="1"/>
  <c r="H33" i="1002" s="1" a="1"/>
  <c r="H33" i="1002" s="1"/>
  <c r="H34" i="1002" s="1" a="1"/>
  <c r="H34" i="1002" s="1"/>
  <c r="H35" i="1002" s="1" a="1"/>
  <c r="H35" i="1002" s="1"/>
  <c r="H36" i="1002" s="1" a="1"/>
  <c r="H36" i="1002" s="1"/>
  <c r="H37" i="1002" s="1" a="1"/>
  <c r="H37" i="1002" s="1"/>
  <c r="N35" i="1003" a="1"/>
  <c r="N35" i="1003" s="1"/>
  <c r="N36" i="1003" s="1" a="1"/>
  <c r="N36" i="1003" s="1"/>
  <c r="N37" i="1003" s="1" a="1"/>
  <c r="N37" i="1003" s="1"/>
  <c r="N24" i="1000" a="1"/>
  <c r="N24" i="1000" s="1"/>
  <c r="N25" i="1000" s="1" a="1"/>
  <c r="N25" i="1000" s="1"/>
  <c r="N26" i="1000" s="1" a="1"/>
  <c r="N26" i="1000" s="1"/>
  <c r="N27" i="1000" s="1" a="1"/>
  <c r="N27" i="1000" s="1"/>
  <c r="N28" i="1000" s="1" a="1"/>
  <c r="N28" i="1000" s="1"/>
  <c r="N29" i="1000" s="1" a="1"/>
  <c r="N29" i="1000" s="1"/>
  <c r="N30" i="1000" s="1" a="1"/>
  <c r="N30" i="1000" s="1"/>
  <c r="N31" i="1000" s="1" a="1"/>
  <c r="N31" i="1000" s="1"/>
  <c r="N32" i="1000" s="1" a="1"/>
  <c r="N32" i="1000" s="1"/>
  <c r="N33" i="1000" s="1" a="1"/>
  <c r="N33" i="1000" s="1"/>
  <c r="N34" i="1000" s="1" a="1"/>
  <c r="N34" i="1000" s="1"/>
  <c r="N35" i="1000" s="1" a="1"/>
  <c r="N35" i="1000" s="1"/>
  <c r="N36" i="1000" s="1" a="1"/>
  <c r="N36" i="1000" s="1"/>
  <c r="N37" i="1000" s="1" a="1"/>
  <c r="N37" i="1000" s="1"/>
  <c r="F34" i="999" a="1"/>
  <c r="F34" i="999" s="1"/>
  <c r="F35" i="999" s="1" a="1"/>
  <c r="F35" i="999" s="1"/>
  <c r="F36" i="999" s="1" a="1"/>
  <c r="F36" i="999" s="1"/>
  <c r="F37" i="999" s="1" a="1"/>
  <c r="F37" i="999" s="1"/>
  <c r="L18" i="1003" a="1"/>
  <c r="L18" i="1003" s="1"/>
  <c r="L19" i="1003" s="1" a="1"/>
  <c r="L19" i="1003" s="1"/>
  <c r="L20" i="1003" s="1" a="1"/>
  <c r="L20" i="1003" s="1"/>
  <c r="L19" i="999" a="1"/>
  <c r="L19" i="999" s="1"/>
  <c r="C26" i="1003" a="1"/>
  <c r="C26" i="1003" s="1"/>
  <c r="C27" i="1003" s="1" a="1"/>
  <c r="C27" i="1003" s="1"/>
  <c r="C28" i="1003" s="1" a="1"/>
  <c r="C28" i="1003" s="1"/>
  <c r="C29" i="1003" s="1" a="1"/>
  <c r="C29" i="1003" s="1"/>
  <c r="C30" i="1003" s="1" a="1"/>
  <c r="C30" i="1003" s="1"/>
  <c r="C31" i="1003" s="1" a="1"/>
  <c r="C31" i="1003" s="1"/>
  <c r="C32" i="1003" s="1" a="1"/>
  <c r="C32" i="1003" s="1"/>
  <c r="C33" i="1003" s="1" a="1"/>
  <c r="C33" i="1003" s="1"/>
  <c r="C34" i="1003" s="1" a="1"/>
  <c r="C34" i="1003" s="1"/>
  <c r="C35" i="1003" s="1" a="1"/>
  <c r="C35" i="1003" s="1"/>
  <c r="C36" i="1003" s="1" a="1"/>
  <c r="C36" i="1003" s="1"/>
  <c r="C37" i="1003" s="1" a="1"/>
  <c r="C37" i="1003" s="1"/>
  <c r="L17" i="992" a="1"/>
  <c r="L17" i="992" s="1"/>
  <c r="L18" i="992" s="1" a="1"/>
  <c r="L18" i="992" s="1"/>
  <c r="L19" i="992" s="1" a="1"/>
  <c r="L19" i="992" s="1"/>
  <c r="L20" i="992" s="1" a="1"/>
  <c r="L20" i="992" s="1"/>
  <c r="L21" i="992" s="1" a="1"/>
  <c r="L21" i="992" s="1"/>
  <c r="L22" i="992" s="1" a="1"/>
  <c r="L22" i="992" s="1"/>
  <c r="N24" i="999" a="1"/>
  <c r="N24" i="999" s="1"/>
  <c r="F32" i="1002" a="1"/>
  <c r="F32" i="1002" s="1"/>
  <c r="F33" i="1002" s="1" a="1"/>
  <c r="F33" i="1002" s="1"/>
  <c r="F34" i="1002" s="1" a="1"/>
  <c r="F34" i="1002" s="1"/>
  <c r="F35" i="1002" s="1" a="1"/>
  <c r="F35" i="1002" s="1"/>
  <c r="F36" i="1002" s="1" a="1"/>
  <c r="F36" i="1002" s="1"/>
  <c r="F37" i="1002" s="1" a="1"/>
  <c r="F37" i="1002" s="1"/>
  <c r="L15" i="1000" a="1"/>
  <c r="L15" i="1000" s="1"/>
  <c r="L18" i="1001" a="1"/>
  <c r="L18" i="1001" s="1"/>
  <c r="L19" i="1002" a="1"/>
  <c r="L19" i="1002" s="1"/>
  <c r="F28" i="992" a="1"/>
  <c r="F28" i="992" s="1"/>
  <c r="F29" i="992" s="1" a="1"/>
  <c r="F29" i="992" s="1"/>
  <c r="F30" i="992" s="1" a="1"/>
  <c r="F30" i="992" s="1"/>
  <c r="F31" i="992" s="1" a="1"/>
  <c r="F31" i="992" s="1"/>
  <c r="F32" i="992" s="1" a="1"/>
  <c r="F32" i="992" s="1"/>
  <c r="F33" i="992" s="1" a="1"/>
  <c r="F33" i="992" s="1"/>
  <c r="F34" i="992" s="1" a="1"/>
  <c r="F34" i="992" s="1"/>
  <c r="F35" i="992" s="1" a="1"/>
  <c r="F35" i="992" s="1"/>
  <c r="F36" i="992" s="1" a="1"/>
  <c r="F36" i="992" s="1"/>
  <c r="F37" i="992" s="1" a="1"/>
  <c r="F37" i="992" s="1"/>
  <c r="J20" i="999" a="1"/>
  <c r="J20" i="999" s="1"/>
  <c r="J21" i="999" s="1" a="1"/>
  <c r="J21" i="999" s="1"/>
  <c r="J22" i="999" s="1" a="1"/>
  <c r="J22" i="999" s="1"/>
  <c r="J23" i="999" s="1" a="1"/>
  <c r="J23" i="999" s="1"/>
  <c r="J24" i="999" s="1" a="1"/>
  <c r="J24" i="999" s="1"/>
  <c r="J25" i="999" s="1" a="1"/>
  <c r="J25" i="999" s="1"/>
  <c r="J26" i="999" s="1" a="1"/>
  <c r="J26" i="999" s="1"/>
  <c r="J27" i="999" s="1" a="1"/>
  <c r="J27" i="999" s="1"/>
  <c r="J28" i="999" s="1" a="1"/>
  <c r="J28" i="999" s="1"/>
  <c r="J29" i="999" s="1" a="1"/>
  <c r="J29" i="999" s="1"/>
  <c r="J30" i="999" s="1" a="1"/>
  <c r="J30" i="999" s="1"/>
  <c r="J31" i="999" s="1" a="1"/>
  <c r="J31" i="999" s="1"/>
  <c r="J32" i="999" s="1" a="1"/>
  <c r="J32" i="999" s="1"/>
  <c r="J33" i="999" s="1" a="1"/>
  <c r="J33" i="999" s="1"/>
  <c r="J34" i="999" s="1" a="1"/>
  <c r="J34" i="999" s="1"/>
  <c r="J35" i="999" s="1" a="1"/>
  <c r="J35" i="999" s="1"/>
  <c r="J36" i="999" s="1" a="1"/>
  <c r="J36" i="999" s="1"/>
  <c r="J37" i="999" s="1" a="1"/>
  <c r="J37" i="999" s="1"/>
  <c r="F17" i="1003" a="1"/>
  <c r="F17" i="1003" s="1"/>
  <c r="F18" i="1003" s="1" a="1"/>
  <c r="F18" i="1003" s="1"/>
  <c r="F19" i="1003" s="1" a="1"/>
  <c r="F19" i="1003" s="1"/>
  <c r="J36" i="1000" a="1"/>
  <c r="J36" i="1000" s="1"/>
  <c r="J37" i="1000" s="1" a="1"/>
  <c r="J37" i="1000" s="1"/>
  <c r="J31" i="1003" l="1" a="1"/>
  <c r="J31" i="1003" s="1"/>
  <c r="J32" i="1003" s="1" a="1"/>
  <c r="J32" i="1003" s="1"/>
  <c r="J33" i="1003" s="1" a="1"/>
  <c r="J33" i="1003" s="1"/>
  <c r="J34" i="1003" s="1" a="1"/>
  <c r="J34" i="1003" s="1"/>
  <c r="J35" i="1003" s="1" a="1"/>
  <c r="J35" i="1003" s="1"/>
  <c r="J36" i="1003" s="1" a="1"/>
  <c r="J36" i="1003" s="1"/>
  <c r="J37" i="1003" s="1" a="1"/>
  <c r="J37" i="1003" s="1"/>
  <c r="J33" i="1001" a="1"/>
  <c r="J33" i="1001" s="1"/>
  <c r="J34" i="1001" s="1" a="1"/>
  <c r="J34" i="1001" s="1"/>
  <c r="J35" i="1001" s="1" a="1"/>
  <c r="J35" i="1001" s="1"/>
  <c r="J36" i="1001" s="1" a="1"/>
  <c r="J36" i="1001" s="1"/>
  <c r="J37" i="1001" s="1" a="1"/>
  <c r="J37" i="1001" s="1"/>
  <c r="F20" i="1003" a="1"/>
  <c r="F20" i="1003" s="1"/>
  <c r="F21" i="1003" s="1" a="1"/>
  <c r="F21" i="1003" s="1"/>
  <c r="F22" i="1003" s="1" a="1"/>
  <c r="F22" i="1003" s="1"/>
  <c r="F23" i="1003" s="1" a="1"/>
  <c r="F23" i="1003" s="1"/>
  <c r="F24" i="1003" s="1" a="1"/>
  <c r="F24" i="1003" s="1"/>
  <c r="F25" i="1003" s="1" a="1"/>
  <c r="F25" i="1003" s="1"/>
  <c r="F26" i="1003" s="1" a="1"/>
  <c r="F26" i="1003" s="1"/>
  <c r="F27" i="1003" s="1" a="1"/>
  <c r="F27" i="1003" s="1"/>
  <c r="F28" i="1003" s="1" a="1"/>
  <c r="F28" i="1003" s="1"/>
  <c r="F29" i="1003" s="1" a="1"/>
  <c r="F29" i="1003" s="1"/>
  <c r="F30" i="1003" s="1" a="1"/>
  <c r="F30" i="1003" s="1"/>
  <c r="F31" i="1003" s="1" a="1"/>
  <c r="F31" i="1003" s="1"/>
  <c r="F32" i="1003" s="1" a="1"/>
  <c r="F32" i="1003" s="1"/>
  <c r="F33" i="1003" s="1" a="1"/>
  <c r="F33" i="1003" s="1"/>
  <c r="F34" i="1003" s="1" a="1"/>
  <c r="F34" i="1003" s="1"/>
  <c r="F35" i="1003" s="1" a="1"/>
  <c r="F35" i="1003" s="1"/>
  <c r="F36" i="1003" s="1" a="1"/>
  <c r="F36" i="1003" s="1"/>
  <c r="F37" i="1003" s="1" a="1"/>
  <c r="F37" i="1003" s="1"/>
  <c r="L21" i="1003" a="1"/>
  <c r="L21" i="1003" s="1"/>
  <c r="L22" i="1003" s="1" a="1"/>
  <c r="L22" i="1003" s="1"/>
  <c r="L23" i="1003" s="1" a="1"/>
  <c r="L23" i="1003" s="1"/>
  <c r="L24" i="1003" s="1" a="1"/>
  <c r="L24" i="1003" s="1"/>
  <c r="L25" i="1003" s="1" a="1"/>
  <c r="L25" i="1003" s="1"/>
  <c r="L26" i="1003" s="1" a="1"/>
  <c r="L26" i="1003" s="1"/>
  <c r="L27" i="1003" s="1" a="1"/>
  <c r="L27" i="1003" s="1"/>
  <c r="L28" i="1003" s="1" a="1"/>
  <c r="L28" i="1003" s="1"/>
  <c r="L29" i="1003" s="1" a="1"/>
  <c r="L29" i="1003" s="1"/>
  <c r="L30" i="1003" s="1" a="1"/>
  <c r="L30" i="1003" s="1"/>
  <c r="L31" i="1003" s="1" a="1"/>
  <c r="L31" i="1003" s="1"/>
  <c r="L32" i="1003" s="1" a="1"/>
  <c r="L32" i="1003" s="1"/>
  <c r="L33" i="1003" s="1" a="1"/>
  <c r="L33" i="1003" s="1"/>
  <c r="L34" i="1003" s="1" a="1"/>
  <c r="L34" i="1003" s="1"/>
  <c r="L35" i="1003" s="1" a="1"/>
  <c r="L35" i="1003" s="1"/>
  <c r="L36" i="1003" s="1" a="1"/>
  <c r="L36" i="1003" s="1"/>
  <c r="L37" i="1003" s="1" a="1"/>
  <c r="L37" i="1003" s="1"/>
  <c r="L23" i="992" a="1"/>
  <c r="L23" i="992" s="1"/>
  <c r="L24" i="992" s="1" a="1"/>
  <c r="L24" i="992" s="1"/>
  <c r="L25" i="992" s="1" a="1"/>
  <c r="L25" i="992" s="1"/>
  <c r="L26" i="992" s="1" a="1"/>
  <c r="L26" i="992" s="1"/>
  <c r="L27" i="992" s="1" a="1"/>
  <c r="L27" i="992" s="1"/>
  <c r="L28" i="992" s="1" a="1"/>
  <c r="L28" i="992" s="1"/>
  <c r="L29" i="992" s="1" a="1"/>
  <c r="L29" i="992" s="1"/>
  <c r="L30" i="992" s="1" a="1"/>
  <c r="L30" i="992" s="1"/>
  <c r="L31" i="992" s="1" a="1"/>
  <c r="L31" i="992" s="1"/>
  <c r="L32" i="992" s="1" a="1"/>
  <c r="L32" i="992" s="1"/>
  <c r="L33" i="992" s="1" a="1"/>
  <c r="L33" i="992" s="1"/>
  <c r="L34" i="992" s="1" a="1"/>
  <c r="L34" i="992" s="1"/>
  <c r="L35" i="992" s="1" a="1"/>
  <c r="L35" i="992" s="1"/>
  <c r="L36" i="992" s="1" a="1"/>
  <c r="L36" i="992" s="1"/>
  <c r="L37" i="992" s="1" a="1"/>
  <c r="L37" i="992" s="1"/>
  <c r="L20" i="999" a="1"/>
  <c r="L20" i="999" s="1"/>
  <c r="L21" i="999" s="1" a="1"/>
  <c r="L21" i="999" s="1"/>
  <c r="L22" i="999" s="1" a="1"/>
  <c r="L22" i="999" s="1"/>
  <c r="L23" i="999" s="1" a="1"/>
  <c r="L23" i="999" s="1"/>
  <c r="L24" i="999" s="1" a="1"/>
  <c r="L24" i="999" s="1"/>
  <c r="L25" i="999" s="1" a="1"/>
  <c r="L25" i="999" s="1"/>
  <c r="L26" i="999" s="1" a="1"/>
  <c r="L26" i="999" s="1"/>
  <c r="L27" i="999" s="1" a="1"/>
  <c r="L27" i="999" s="1"/>
  <c r="L28" i="999" s="1" a="1"/>
  <c r="L28" i="999" s="1"/>
  <c r="L29" i="999" s="1" a="1"/>
  <c r="L29" i="999" s="1"/>
  <c r="L30" i="999" s="1" a="1"/>
  <c r="L30" i="999" s="1"/>
  <c r="L31" i="999" s="1" a="1"/>
  <c r="L31" i="999" s="1"/>
  <c r="L32" i="999" s="1" a="1"/>
  <c r="L32" i="999" s="1"/>
  <c r="L33" i="999" s="1" a="1"/>
  <c r="L33" i="999" s="1"/>
  <c r="L34" i="999" s="1" a="1"/>
  <c r="L34" i="999" s="1"/>
  <c r="L35" i="999" s="1" a="1"/>
  <c r="L35" i="999" s="1"/>
  <c r="L20" i="1002" a="1"/>
  <c r="L20" i="1002" s="1"/>
  <c r="L21" i="1002" s="1" a="1"/>
  <c r="L21" i="1002" s="1"/>
  <c r="L22" i="1002" s="1" a="1"/>
  <c r="L22" i="1002" s="1"/>
  <c r="L23" i="1002" s="1" a="1"/>
  <c r="L23" i="1002" s="1"/>
  <c r="L24" i="1002" s="1" a="1"/>
  <c r="L24" i="1002" s="1"/>
  <c r="L25" i="1002" s="1" a="1"/>
  <c r="L25" i="1002" s="1"/>
  <c r="L26" i="1002" s="1" a="1"/>
  <c r="L26" i="1002" s="1"/>
  <c r="L27" i="1002" s="1" a="1"/>
  <c r="L27" i="1002" s="1"/>
  <c r="L28" i="1002" s="1" a="1"/>
  <c r="L28" i="1002" s="1"/>
  <c r="L29" i="1002" s="1" a="1"/>
  <c r="L29" i="1002" s="1"/>
  <c r="L30" i="1002" s="1" a="1"/>
  <c r="L30" i="1002" s="1"/>
  <c r="L31" i="1002" s="1" a="1"/>
  <c r="L31" i="1002" s="1"/>
  <c r="L32" i="1002" s="1" a="1"/>
  <c r="L32" i="1002" s="1"/>
  <c r="L33" i="1002" s="1" a="1"/>
  <c r="L33" i="1002" s="1"/>
  <c r="L34" i="1002" s="1" a="1"/>
  <c r="L34" i="1002" s="1"/>
  <c r="L35" i="1002" s="1" a="1"/>
  <c r="L35" i="1002" s="1"/>
  <c r="L36" i="1002" s="1" a="1"/>
  <c r="L36" i="1002" s="1"/>
  <c r="L37" i="1002" s="1" a="1"/>
  <c r="L37" i="1002" s="1"/>
  <c r="N25" i="999" a="1"/>
  <c r="N25" i="999" s="1"/>
  <c r="N26" i="999" s="1" a="1"/>
  <c r="N26" i="999" s="1"/>
  <c r="N27" i="999" s="1" a="1"/>
  <c r="N27" i="999" s="1"/>
  <c r="N28" i="999" s="1" a="1"/>
  <c r="N28" i="999" s="1"/>
  <c r="L16" i="1000" a="1"/>
  <c r="L16" i="1000" s="1"/>
  <c r="L19" i="1001" a="1"/>
  <c r="L19" i="1001" s="1"/>
  <c r="N29" i="999" l="1" a="1"/>
  <c r="N29" i="999" s="1"/>
  <c r="N30" i="999" s="1" a="1"/>
  <c r="N30" i="999" s="1"/>
  <c r="N31" i="999" s="1" a="1"/>
  <c r="N31" i="999" s="1"/>
  <c r="N32" i="999" s="1" a="1"/>
  <c r="N32" i="999" s="1"/>
  <c r="N33" i="999" s="1" a="1"/>
  <c r="N33" i="999" s="1"/>
  <c r="N34" i="999" s="1" a="1"/>
  <c r="N34" i="999" s="1"/>
  <c r="N35" i="999" s="1" a="1"/>
  <c r="N35" i="999" s="1"/>
  <c r="N36" i="999" s="1" a="1"/>
  <c r="N36" i="999" s="1"/>
  <c r="N37" i="999" s="1" a="1"/>
  <c r="N37" i="999" s="1"/>
  <c r="L20" i="1001" a="1"/>
  <c r="L20" i="1001" s="1"/>
  <c r="L17" i="1000" a="1"/>
  <c r="L17" i="1000" s="1"/>
  <c r="L18" i="1000" s="1" a="1"/>
  <c r="L18" i="1000" s="1"/>
  <c r="L19" i="1000" s="1" a="1"/>
  <c r="L19" i="1000" s="1"/>
  <c r="L20" i="1000" s="1" a="1"/>
  <c r="L20" i="1000" s="1"/>
  <c r="L21" i="1000" s="1" a="1"/>
  <c r="L21" i="1000" s="1"/>
  <c r="L22" i="1000" s="1" a="1"/>
  <c r="L22" i="1000" s="1"/>
  <c r="L23" i="1000" s="1" a="1"/>
  <c r="L23" i="1000" s="1"/>
  <c r="L24" i="1000" s="1" a="1"/>
  <c r="L24" i="1000" s="1"/>
  <c r="L25" i="1000" s="1" a="1"/>
  <c r="L25" i="1000" s="1"/>
  <c r="L26" i="1000" s="1" a="1"/>
  <c r="L26" i="1000" s="1"/>
  <c r="L27" i="1000" s="1" a="1"/>
  <c r="L27" i="1000" s="1"/>
  <c r="L28" i="1000" s="1" a="1"/>
  <c r="L28" i="1000" s="1"/>
  <c r="L29" i="1000" s="1" a="1"/>
  <c r="L29" i="1000" s="1"/>
  <c r="L30" i="1000" s="1" a="1"/>
  <c r="L30" i="1000" s="1"/>
  <c r="L31" i="1000" s="1" a="1"/>
  <c r="L31" i="1000" s="1"/>
  <c r="L32" i="1000" s="1" a="1"/>
  <c r="L32" i="1000" s="1"/>
  <c r="L33" i="1000" s="1" a="1"/>
  <c r="L33" i="1000" s="1"/>
  <c r="L34" i="1000" s="1" a="1"/>
  <c r="L34" i="1000" s="1"/>
  <c r="L35" i="1000" s="1" a="1"/>
  <c r="L35" i="1000" s="1"/>
  <c r="L36" i="1000" s="1" a="1"/>
  <c r="L36" i="1000" s="1"/>
  <c r="L37" i="1000" s="1" a="1"/>
  <c r="L37" i="1000" s="1"/>
  <c r="L36" i="999" a="1"/>
  <c r="L36" i="999" s="1"/>
  <c r="L37" i="999" s="1" a="1"/>
  <c r="L37" i="999" s="1"/>
  <c r="L21" i="1001" l="1" a="1"/>
  <c r="L21" i="1001" s="1"/>
  <c r="L22" i="1001" s="1" a="1"/>
  <c r="L22" i="1001" s="1"/>
  <c r="L23" i="1001" s="1" a="1"/>
  <c r="L23" i="1001" s="1"/>
  <c r="L24" i="1001" s="1" a="1"/>
  <c r="L24" i="1001" s="1"/>
  <c r="L25" i="1001" s="1" a="1"/>
  <c r="L25" i="1001" s="1"/>
  <c r="L26" i="1001" s="1" a="1"/>
  <c r="L26" i="1001" s="1"/>
  <c r="L27" i="1001" s="1" a="1"/>
  <c r="L27" i="1001" s="1"/>
  <c r="L28" i="1001" s="1" a="1"/>
  <c r="L28" i="1001" s="1"/>
  <c r="L29" i="1001" s="1" a="1"/>
  <c r="L29" i="1001" s="1"/>
  <c r="L30" i="1001" s="1" a="1"/>
  <c r="L30" i="1001" s="1"/>
  <c r="L31" i="1001" s="1" a="1"/>
  <c r="L31" i="1001" s="1"/>
  <c r="L32" i="1001" s="1" a="1"/>
  <c r="L32" i="1001" s="1"/>
  <c r="L33" i="1001" s="1" a="1"/>
  <c r="L33" i="1001" s="1"/>
  <c r="L34" i="1001" s="1" a="1"/>
  <c r="L34" i="1001" s="1"/>
  <c r="L35" i="1001" s="1" a="1"/>
  <c r="L35" i="1001" s="1"/>
  <c r="L36" i="1001" s="1" a="1"/>
  <c r="L36" i="1001" s="1"/>
  <c r="L37" i="1001" s="1" a="1"/>
  <c r="L37" i="1001" s="1"/>
</calcChain>
</file>

<file path=xl/sharedStrings.xml><?xml version="1.0" encoding="utf-8"?>
<sst xmlns="http://schemas.openxmlformats.org/spreadsheetml/2006/main" count="945" uniqueCount="94">
  <si>
    <t>Total (DSF)</t>
  </si>
  <si>
    <t>Total (ac-ft)</t>
  </si>
  <si>
    <t>Mean</t>
  </si>
  <si>
    <t>Elev</t>
  </si>
  <si>
    <t>cfs</t>
  </si>
  <si>
    <t/>
  </si>
  <si>
    <t>B</t>
  </si>
  <si>
    <t>C</t>
  </si>
  <si>
    <t>Flow-Evap</t>
  </si>
  <si>
    <t>EvapRate</t>
  </si>
  <si>
    <t>Flow-Spill</t>
  </si>
  <si>
    <t>Stor</t>
  </si>
  <si>
    <t>E</t>
  </si>
  <si>
    <t>F</t>
  </si>
  <si>
    <t>Units</t>
  </si>
  <si>
    <t>in/day</t>
  </si>
  <si>
    <t>ac-ft</t>
  </si>
  <si>
    <t>ft</t>
  </si>
  <si>
    <t>Type</t>
  </si>
  <si>
    <t>PER-AVER</t>
  </si>
  <si>
    <t>PER-CUM</t>
  </si>
  <si>
    <t>INST-VAL</t>
  </si>
  <si>
    <t>Flow-In</t>
  </si>
  <si>
    <t>Precip</t>
  </si>
  <si>
    <t>in</t>
  </si>
  <si>
    <t>Monthly Reservoir Storage:</t>
  </si>
  <si>
    <t>OAHE</t>
  </si>
  <si>
    <t>ELEVATION</t>
  </si>
  <si>
    <t>OUTFLOW</t>
  </si>
  <si>
    <t>INFLOW</t>
  </si>
  <si>
    <t>- Min</t>
  </si>
  <si>
    <t>EOM =</t>
  </si>
  <si>
    <t>+ Max</t>
  </si>
  <si>
    <t>Min =</t>
  </si>
  <si>
    <t>MEAN DISCHARGE IN CFS</t>
  </si>
  <si>
    <t>US ARMY CORPS OF ENGINEERS</t>
  </si>
  <si>
    <t xml:space="preserve">MISSOURI RIVER             </t>
  </si>
  <si>
    <t>POWER</t>
  </si>
  <si>
    <t>SPILL</t>
  </si>
  <si>
    <t>TOTAL</t>
  </si>
  <si>
    <t>INCH</t>
  </si>
  <si>
    <t>CFS</t>
  </si>
  <si>
    <t>FEET-MSL</t>
  </si>
  <si>
    <t>MONTHLY RESERVOIR OPERATION</t>
  </si>
  <si>
    <t>Change =</t>
  </si>
  <si>
    <t>Monthly Precip =</t>
  </si>
  <si>
    <t>Monthly Max =</t>
  </si>
  <si>
    <t>GARRISON</t>
  </si>
  <si>
    <t>FORT PECK</t>
  </si>
  <si>
    <t>DIVERT</t>
  </si>
  <si>
    <t>A</t>
  </si>
  <si>
    <t>Fort Peck Reservoir Balance</t>
  </si>
  <si>
    <t>MISSOURI RIVER REGION</t>
  </si>
  <si>
    <t>Garrison Reservoir Balance</t>
  </si>
  <si>
    <t>Monthly Min =</t>
  </si>
  <si>
    <t>Oahe Reservoir Balance</t>
  </si>
  <si>
    <t>EVAP</t>
  </si>
  <si>
    <t>PAN</t>
  </si>
  <si>
    <t>FLOW</t>
  </si>
  <si>
    <t>BIG BEND</t>
  </si>
  <si>
    <t>Big Bend Reservoir Balance</t>
  </si>
  <si>
    <t>FORT RANDALL</t>
  </si>
  <si>
    <t>Fort Randall Reservoir Balance</t>
  </si>
  <si>
    <t>GAVINS POINT</t>
  </si>
  <si>
    <t>Gavins Point Reservoir Balance</t>
  </si>
  <si>
    <t>+</t>
  </si>
  <si>
    <t>-</t>
  </si>
  <si>
    <t>Lock Sheet?</t>
  </si>
  <si>
    <t>Yes</t>
  </si>
  <si>
    <t>Central Local</t>
  </si>
  <si>
    <t>Storage Difference</t>
  </si>
  <si>
    <t>acre-ft</t>
  </si>
  <si>
    <t>FTPK</t>
  </si>
  <si>
    <t>GARR</t>
  </si>
  <si>
    <t>GARR-Diversion</t>
  </si>
  <si>
    <t>BEND</t>
  </si>
  <si>
    <t>FTRA</t>
  </si>
  <si>
    <t>GAPT</t>
  </si>
  <si>
    <t>Flow-Out</t>
  </si>
  <si>
    <t>Flow</t>
  </si>
  <si>
    <t>Best-MRBWM</t>
  </si>
  <si>
    <t>FTPK-Powerhouse</t>
  </si>
  <si>
    <t>GARR-Powerhouse</t>
  </si>
  <si>
    <t>OAHE-Powerhouse</t>
  </si>
  <si>
    <t>BEND-Powerhouse</t>
  </si>
  <si>
    <t>FTRA-Powerhouse</t>
  </si>
  <si>
    <t>GAPT-Powerhouse</t>
  </si>
  <si>
    <t>0.00 inches</t>
  </si>
  <si>
    <t>Notes: Ice in 15Jan; Ice out 20Apr</t>
  </si>
  <si>
    <t>Notes: Ice in 11Jan; Ice out 26Apr</t>
  </si>
  <si>
    <t>Notes:</t>
  </si>
  <si>
    <t>0.47 inches</t>
  </si>
  <si>
    <t>2.50 inches</t>
  </si>
  <si>
    <t>1.80 inches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</si>
</sst>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ddmmmyyyy"/>
    <numFmt numFmtId="165" formatCode="0.0"/>
    <numFmt numFmtId="166" formatCode="mmm\-yyyy"/>
    <numFmt numFmtId="167" formatCode="mmmm\-yyyy"/>
    <numFmt numFmtId="168" formatCode="dd"/>
    <numFmt numFmtId="169" formatCode="mmm"/>
    <numFmt numFmtId="170" formatCode="yyyy"/>
    <numFmt numFmtId="171" formatCode="mmm\ yyyy"/>
    <numFmt numFmtId="172" formatCode="0.000000"/>
    <numFmt numFmtId="173" formatCode="m/d"/>
    <numFmt numFmtId="174" formatCode="#,##0.0"/>
    <numFmt numFmtId="175" formatCode="#,##0.0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sz val="14"/>
      <color rgb="FF000000"/>
      <name val="Arial"/>
      <family val="2"/>
    </font>
    <font>
      <b/>
      <sz val="12"/>
      <name val="Arial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09">
    <xf numFmtId="0" fontId="0" fillId="0" borderId="0" xfId="0"/>
    <xf numFmtId="0" fontId="7" fillId="0" borderId="0" xfId="0" applyFont="1"/>
    <xf numFmtId="3" fontId="7" fillId="0" borderId="0" xfId="0" applyNumberFormat="1" applyFont="1"/>
    <xf numFmtId="164" fontId="7" fillId="0" borderId="0" xfId="0" applyNumberFormat="1" applyFont="1"/>
    <xf numFmtId="2" fontId="7" fillId="0" borderId="0" xfId="0" applyNumberFormat="1" applyFont="1"/>
    <xf numFmtId="165" fontId="7" fillId="0" borderId="0" xfId="0" applyNumberFormat="1" applyFont="1"/>
    <xf numFmtId="0" fontId="11" fillId="0" borderId="7" xfId="0" applyFont="1" applyBorder="1" applyAlignment="1" applyProtection="1">
      <alignment horizontal="left"/>
      <protection locked="0"/>
    </xf>
    <xf numFmtId="0" fontId="11" fillId="0" borderId="4" xfId="0" applyFont="1" applyBorder="1" applyAlignment="1" applyProtection="1">
      <alignment horizontal="left"/>
      <protection locked="0"/>
    </xf>
    <xf numFmtId="169" fontId="11" fillId="0" borderId="2" xfId="0" applyNumberFormat="1" applyFont="1" applyBorder="1" applyAlignment="1" applyProtection="1">
      <alignment horizontal="center"/>
      <protection locked="0"/>
    </xf>
    <xf numFmtId="170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right"/>
      <protection locked="0"/>
    </xf>
    <xf numFmtId="0" fontId="11" fillId="0" borderId="3" xfId="0" applyFont="1" applyBorder="1" applyAlignment="1" applyProtection="1">
      <alignment horizontal="right"/>
      <protection locked="0"/>
    </xf>
    <xf numFmtId="0" fontId="11" fillId="0" borderId="6" xfId="0" applyFont="1" applyBorder="1" applyAlignment="1" applyProtection="1">
      <alignment horizontal="right"/>
      <protection locked="0"/>
    </xf>
    <xf numFmtId="2" fontId="11" fillId="0" borderId="5" xfId="0" applyNumberFormat="1" applyFont="1" applyBorder="1" applyAlignment="1" applyProtection="1">
      <alignment horizontal="left"/>
      <protection locked="0"/>
    </xf>
    <xf numFmtId="2" fontId="11" fillId="0" borderId="0" xfId="0" applyNumberFormat="1" applyFont="1" applyBorder="1" applyAlignment="1" applyProtection="1">
      <alignment horizontal="left"/>
      <protection locked="0"/>
    </xf>
    <xf numFmtId="2" fontId="11" fillId="0" borderId="3" xfId="0" applyNumberFormat="1" applyFont="1" applyBorder="1" applyAlignment="1" applyProtection="1">
      <alignment horizontal="left"/>
      <protection locked="0"/>
    </xf>
    <xf numFmtId="2" fontId="11" fillId="0" borderId="8" xfId="0" applyNumberFormat="1" applyFont="1" applyBorder="1" applyAlignment="1" applyProtection="1">
      <alignment horizontal="left"/>
      <protection locked="0"/>
    </xf>
    <xf numFmtId="0" fontId="11" fillId="0" borderId="1" xfId="0" applyFont="1" applyBorder="1" applyProtection="1">
      <protection locked="0"/>
    </xf>
    <xf numFmtId="0" fontId="11" fillId="0" borderId="0" xfId="0" applyFont="1" applyBorder="1" applyAlignment="1" applyProtection="1">
      <alignment horizontal="right"/>
      <protection locked="0"/>
    </xf>
    <xf numFmtId="0" fontId="11" fillId="0" borderId="2" xfId="0" quotePrefix="1" applyFont="1" applyBorder="1" applyProtection="1">
      <protection locked="0"/>
    </xf>
    <xf numFmtId="0" fontId="11" fillId="0" borderId="1" xfId="0" applyFont="1" applyBorder="1" applyAlignment="1" applyProtection="1">
      <alignment horizontal="right"/>
      <protection locked="0"/>
    </xf>
    <xf numFmtId="0" fontId="11" fillId="0" borderId="2" xfId="0" applyFont="1" applyBorder="1" applyAlignment="1" applyProtection="1">
      <alignment horizontal="center"/>
      <protection locked="0"/>
    </xf>
    <xf numFmtId="0" fontId="11" fillId="0" borderId="0" xfId="0" applyFont="1" applyBorder="1" applyAlignment="1" applyProtection="1">
      <alignment horizontal="center"/>
      <protection locked="0"/>
    </xf>
    <xf numFmtId="0" fontId="8" fillId="0" borderId="0" xfId="1" applyFont="1" applyAlignment="1">
      <alignment horizontal="right"/>
    </xf>
    <xf numFmtId="0" fontId="6" fillId="0" borderId="0" xfId="0" applyFont="1"/>
    <xf numFmtId="0" fontId="6" fillId="0" borderId="0" xfId="0" applyFont="1" applyAlignment="1"/>
    <xf numFmtId="0" fontId="6" fillId="0" borderId="5" xfId="0" applyFont="1" applyBorder="1" applyAlignment="1" applyProtection="1">
      <protection locked="0"/>
    </xf>
    <xf numFmtId="0" fontId="6" fillId="0" borderId="6" xfId="0" applyFont="1" applyBorder="1" applyAlignment="1" applyProtection="1">
      <alignment horizontal="right"/>
      <protection locked="0"/>
    </xf>
    <xf numFmtId="0" fontId="6" fillId="0" borderId="6" xfId="0" applyFont="1" applyBorder="1" applyAlignment="1" applyProtection="1">
      <alignment horizontal="left"/>
      <protection locked="0"/>
    </xf>
    <xf numFmtId="0" fontId="6" fillId="0" borderId="0" xfId="0" applyFont="1" applyFill="1" applyBorder="1"/>
    <xf numFmtId="173" fontId="6" fillId="0" borderId="2" xfId="0" applyNumberFormat="1" applyFont="1" applyBorder="1" applyAlignment="1" applyProtection="1">
      <alignment horizontal="right" indent="1"/>
      <protection locked="0"/>
    </xf>
    <xf numFmtId="2" fontId="6" fillId="0" borderId="2" xfId="0" applyNumberFormat="1" applyFont="1" applyBorder="1" applyAlignment="1" applyProtection="1">
      <alignment horizontal="right"/>
      <protection locked="0"/>
    </xf>
    <xf numFmtId="2" fontId="6" fillId="0" borderId="0" xfId="0" applyNumberFormat="1" applyFont="1" applyBorder="1" applyAlignment="1" applyProtection="1">
      <alignment horizontal="right"/>
      <protection locked="0"/>
    </xf>
    <xf numFmtId="3" fontId="6" fillId="0" borderId="0" xfId="0" applyNumberFormat="1" applyFont="1" applyBorder="1" applyAlignment="1" applyProtection="1">
      <alignment horizontal="right"/>
      <protection locked="0"/>
    </xf>
    <xf numFmtId="3" fontId="6" fillId="0" borderId="2" xfId="0" applyNumberFormat="1" applyFont="1" applyBorder="1" applyAlignment="1" applyProtection="1">
      <alignment horizontal="right"/>
      <protection locked="0"/>
    </xf>
    <xf numFmtId="3" fontId="6" fillId="0" borderId="0" xfId="0" applyNumberFormat="1" applyFont="1"/>
    <xf numFmtId="173" fontId="6" fillId="0" borderId="9" xfId="0" applyNumberFormat="1" applyFont="1" applyBorder="1" applyAlignment="1" applyProtection="1">
      <alignment horizontal="right" indent="1"/>
      <protection locked="0"/>
    </xf>
    <xf numFmtId="3" fontId="6" fillId="0" borderId="0" xfId="0" applyNumberFormat="1" applyFont="1" applyBorder="1"/>
    <xf numFmtId="2" fontId="6" fillId="0" borderId="7" xfId="0" applyNumberFormat="1" applyFont="1" applyBorder="1" applyAlignment="1" applyProtection="1">
      <alignment horizontal="right"/>
      <protection locked="0"/>
    </xf>
    <xf numFmtId="3" fontId="6" fillId="0" borderId="8" xfId="0" applyNumberFormat="1" applyFont="1" applyBorder="1" applyAlignment="1" applyProtection="1">
      <alignment horizontal="right"/>
      <protection locked="0"/>
    </xf>
    <xf numFmtId="3" fontId="6" fillId="0" borderId="4" xfId="0" applyNumberFormat="1" applyFont="1" applyBorder="1" applyAlignment="1" applyProtection="1">
      <alignment horizontal="center"/>
      <protection locked="0"/>
    </xf>
    <xf numFmtId="3" fontId="6" fillId="0" borderId="7" xfId="0" applyNumberFormat="1" applyFont="1" applyBorder="1" applyAlignment="1" applyProtection="1">
      <alignment horizontal="right"/>
      <protection locked="0"/>
    </xf>
    <xf numFmtId="3" fontId="6" fillId="0" borderId="8" xfId="0" applyNumberFormat="1" applyFont="1" applyBorder="1" applyAlignment="1" applyProtection="1">
      <alignment horizontal="center"/>
      <protection locked="0"/>
    </xf>
    <xf numFmtId="3" fontId="6" fillId="0" borderId="8" xfId="0" applyNumberFormat="1" applyFont="1" applyBorder="1" applyAlignment="1" applyProtection="1">
      <alignment horizontal="left"/>
      <protection locked="0"/>
    </xf>
    <xf numFmtId="3" fontId="6" fillId="0" borderId="4" xfId="0" applyNumberFormat="1" applyFont="1" applyBorder="1" applyAlignment="1" applyProtection="1">
      <alignment horizontal="left"/>
      <protection locked="0"/>
    </xf>
    <xf numFmtId="1" fontId="6" fillId="0" borderId="1" xfId="0" applyNumberFormat="1" applyFont="1" applyBorder="1" applyAlignment="1" applyProtection="1">
      <alignment horizontal="center"/>
      <protection locked="0"/>
    </xf>
    <xf numFmtId="3" fontId="6" fillId="0" borderId="3" xfId="0" applyNumberFormat="1" applyFont="1" applyBorder="1" applyAlignment="1" applyProtection="1">
      <alignment horizontal="right"/>
      <protection locked="0"/>
    </xf>
    <xf numFmtId="3" fontId="6" fillId="0" borderId="6" xfId="0" applyNumberFormat="1" applyFont="1" applyBorder="1" applyAlignment="1" applyProtection="1">
      <alignment horizontal="center"/>
      <protection locked="0"/>
    </xf>
    <xf numFmtId="3" fontId="6" fillId="0" borderId="1" xfId="0" applyNumberFormat="1" applyFont="1" applyBorder="1" applyAlignment="1" applyProtection="1">
      <alignment horizontal="right"/>
      <protection locked="0"/>
    </xf>
    <xf numFmtId="3" fontId="6" fillId="0" borderId="3" xfId="0" applyNumberFormat="1" applyFont="1" applyBorder="1" applyAlignment="1" applyProtection="1">
      <alignment horizontal="center"/>
      <protection locked="0"/>
    </xf>
    <xf numFmtId="3" fontId="6" fillId="0" borderId="3" xfId="0" applyNumberFormat="1" applyFont="1" applyBorder="1" applyAlignment="1" applyProtection="1">
      <alignment horizontal="left"/>
      <protection locked="0"/>
    </xf>
    <xf numFmtId="3" fontId="6" fillId="0" borderId="6" xfId="0" applyNumberFormat="1" applyFont="1" applyBorder="1" applyAlignment="1" applyProtection="1">
      <alignment horizontal="left"/>
      <protection locked="0"/>
    </xf>
    <xf numFmtId="2" fontId="6" fillId="0" borderId="10" xfId="0" applyNumberFormat="1" applyFont="1" applyBorder="1" applyAlignment="1" applyProtection="1">
      <alignment horizontal="right"/>
      <protection locked="0"/>
    </xf>
    <xf numFmtId="1" fontId="6" fillId="0" borderId="12" xfId="0" applyNumberFormat="1" applyFont="1" applyBorder="1" applyAlignment="1" applyProtection="1">
      <alignment horizontal="left"/>
      <protection locked="0"/>
    </xf>
    <xf numFmtId="2" fontId="6" fillId="0" borderId="1" xfId="0" applyNumberFormat="1" applyFont="1" applyBorder="1" applyAlignment="1" applyProtection="1">
      <alignment horizontal="right"/>
      <protection locked="0"/>
    </xf>
    <xf numFmtId="3" fontId="6" fillId="0" borderId="10" xfId="0" applyNumberFormat="1" applyFont="1" applyBorder="1" applyAlignment="1" applyProtection="1">
      <alignment horizontal="right"/>
      <protection locked="0"/>
    </xf>
    <xf numFmtId="3" fontId="6" fillId="0" borderId="11" xfId="0" applyNumberFormat="1" applyFont="1" applyBorder="1" applyAlignment="1" applyProtection="1">
      <alignment horizontal="center"/>
      <protection locked="0"/>
    </xf>
    <xf numFmtId="3" fontId="6" fillId="0" borderId="11" xfId="0" applyNumberFormat="1" applyFont="1" applyBorder="1" applyAlignment="1" applyProtection="1">
      <alignment horizontal="right"/>
      <protection locked="0"/>
    </xf>
    <xf numFmtId="3" fontId="6" fillId="0" borderId="11" xfId="0" applyNumberFormat="1" applyFont="1" applyBorder="1" applyAlignment="1" applyProtection="1">
      <alignment horizontal="left"/>
      <protection locked="0"/>
    </xf>
    <xf numFmtId="3" fontId="6" fillId="0" borderId="12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right"/>
      <protection locked="0"/>
    </xf>
    <xf numFmtId="0" fontId="6" fillId="0" borderId="0" xfId="0" applyFont="1" applyBorder="1" applyAlignment="1" applyProtection="1">
      <alignment horizontal="left"/>
      <protection locked="0"/>
    </xf>
    <xf numFmtId="0" fontId="6" fillId="0" borderId="0" xfId="0" applyFont="1" applyBorder="1" applyProtection="1">
      <protection locked="0"/>
    </xf>
    <xf numFmtId="3" fontId="6" fillId="0" borderId="0" xfId="0" applyNumberFormat="1" applyFont="1" applyBorder="1" applyAlignment="1" applyProtection="1">
      <alignment horizontal="right"/>
      <protection locked="0"/>
    </xf>
    <xf numFmtId="2" fontId="6" fillId="0" borderId="5" xfId="0" applyNumberFormat="1" applyFont="1" applyBorder="1" applyAlignment="1" applyProtection="1">
      <alignment horizontal="left"/>
      <protection locked="0"/>
    </xf>
    <xf numFmtId="0" fontId="6" fillId="0" borderId="5" xfId="0" applyFont="1" applyBorder="1" applyAlignment="1" applyProtection="1">
      <alignment horizontal="left"/>
      <protection locked="0"/>
    </xf>
    <xf numFmtId="172" fontId="6" fillId="0" borderId="0" xfId="0" applyNumberFormat="1" applyFont="1" applyBorder="1" applyAlignment="1" applyProtection="1">
      <protection locked="0"/>
    </xf>
    <xf numFmtId="0" fontId="11" fillId="0" borderId="0" xfId="0" applyFont="1" applyBorder="1" applyAlignment="1" applyProtection="1">
      <alignment horizontal="right"/>
      <protection locked="0"/>
    </xf>
    <xf numFmtId="0" fontId="11" fillId="0" borderId="3" xfId="0" applyFont="1" applyBorder="1" applyAlignment="1" applyProtection="1">
      <alignment horizontal="right"/>
      <protection locked="0"/>
    </xf>
    <xf numFmtId="0" fontId="11" fillId="0" borderId="7" xfId="0" applyFont="1" applyBorder="1" applyAlignment="1" applyProtection="1">
      <alignment horizontal="left"/>
      <protection locked="0"/>
    </xf>
    <xf numFmtId="0" fontId="11" fillId="0" borderId="0" xfId="0" applyFont="1" applyBorder="1" applyAlignment="1" applyProtection="1">
      <alignment horizontal="right"/>
      <protection locked="0"/>
    </xf>
    <xf numFmtId="0" fontId="11" fillId="0" borderId="7" xfId="0" applyFont="1" applyBorder="1" applyAlignment="1" applyProtection="1">
      <alignment horizontal="left"/>
      <protection locked="0"/>
    </xf>
    <xf numFmtId="0" fontId="6" fillId="0" borderId="5" xfId="0" applyFont="1" applyBorder="1" applyAlignment="1" applyProtection="1">
      <protection locked="0"/>
    </xf>
    <xf numFmtId="0" fontId="11" fillId="0" borderId="2" xfId="0" applyFont="1" applyBorder="1" applyAlignment="1" applyProtection="1">
      <alignment horizontal="center"/>
      <protection locked="0"/>
    </xf>
    <xf numFmtId="0" fontId="11" fillId="0" borderId="0" xfId="0" applyFont="1" applyBorder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right"/>
      <protection locked="0"/>
    </xf>
    <xf numFmtId="0" fontId="6" fillId="0" borderId="6" xfId="0" applyFont="1" applyBorder="1" applyAlignment="1" applyProtection="1">
      <alignment horizontal="right"/>
      <protection locked="0"/>
    </xf>
    <xf numFmtId="3" fontId="6" fillId="0" borderId="0" xfId="0" applyNumberFormat="1" applyFont="1" applyBorder="1" applyAlignment="1" applyProtection="1">
      <alignment horizontal="right"/>
      <protection locked="0"/>
    </xf>
    <xf numFmtId="0" fontId="11" fillId="0" borderId="3" xfId="0" applyFont="1" applyBorder="1" applyAlignment="1" applyProtection="1">
      <alignment horizontal="right"/>
      <protection locked="0"/>
    </xf>
    <xf numFmtId="0" fontId="11" fillId="0" borderId="4" xfId="0" applyFont="1" applyBorder="1" applyAlignment="1" applyProtection="1">
      <alignment horizontal="left"/>
      <protection locked="0"/>
    </xf>
    <xf numFmtId="3" fontId="5" fillId="0" borderId="0" xfId="0" applyNumberFormat="1" applyFont="1"/>
    <xf numFmtId="0" fontId="11" fillId="0" borderId="0" xfId="0" applyFont="1" applyBorder="1" applyAlignment="1" applyProtection="1">
      <alignment horizontal="right"/>
      <protection locked="0"/>
    </xf>
    <xf numFmtId="0" fontId="11" fillId="0" borderId="0" xfId="0" applyFont="1" applyBorder="1" applyAlignment="1" applyProtection="1">
      <alignment horizontal="center"/>
      <protection locked="0"/>
    </xf>
    <xf numFmtId="0" fontId="11" fillId="0" borderId="0" xfId="0" applyFont="1" applyBorder="1" applyAlignment="1" applyProtection="1">
      <protection locked="0"/>
    </xf>
    <xf numFmtId="3" fontId="6" fillId="0" borderId="0" xfId="0" applyNumberFormat="1" applyFont="1" applyBorder="1" applyAlignment="1" applyProtection="1">
      <alignment horizontal="right"/>
      <protection locked="0"/>
    </xf>
    <xf numFmtId="0" fontId="4" fillId="0" borderId="0" xfId="0" applyFont="1"/>
    <xf numFmtId="166" fontId="4" fillId="0" borderId="0" xfId="0" applyNumberFormat="1" applyFont="1"/>
    <xf numFmtId="1" fontId="4" fillId="0" borderId="0" xfId="0" applyNumberFormat="1" applyFont="1"/>
    <xf numFmtId="3" fontId="6" fillId="0" borderId="0" xfId="0" applyNumberFormat="1" applyFont="1" applyBorder="1" applyAlignment="1" applyProtection="1">
      <protection locked="0"/>
    </xf>
    <xf numFmtId="168" fontId="11" fillId="0" borderId="0" xfId="0" applyNumberFormat="1" applyFont="1" applyBorder="1" applyAlignment="1" applyProtection="1">
      <alignment vertical="top" wrapText="1"/>
      <protection locked="0"/>
    </xf>
    <xf numFmtId="171" fontId="11" fillId="0" borderId="0" xfId="0" applyNumberFormat="1" applyFont="1" applyBorder="1" applyAlignment="1" applyProtection="1">
      <protection locked="0"/>
    </xf>
    <xf numFmtId="0" fontId="10" fillId="0" borderId="0" xfId="0" applyFont="1" applyBorder="1" applyAlignment="1" applyProtection="1">
      <protection locked="0"/>
    </xf>
    <xf numFmtId="166" fontId="11" fillId="0" borderId="0" xfId="0" applyNumberFormat="1" applyFont="1" applyBorder="1" applyAlignment="1" applyProtection="1">
      <protection locked="0"/>
    </xf>
    <xf numFmtId="167" fontId="11" fillId="0" borderId="0" xfId="0" applyNumberFormat="1" applyFont="1" applyBorder="1" applyAlignment="1" applyProtection="1">
      <protection locked="0"/>
    </xf>
    <xf numFmtId="0" fontId="6" fillId="0" borderId="0" xfId="0" applyFont="1" applyBorder="1" applyAlignment="1" applyProtection="1">
      <protection locked="0"/>
    </xf>
    <xf numFmtId="0" fontId="11" fillId="0" borderId="0" xfId="0" applyFont="1" applyBorder="1" applyAlignment="1" applyProtection="1">
      <alignment horizontal="left"/>
      <protection locked="0"/>
    </xf>
    <xf numFmtId="169" fontId="11" fillId="0" borderId="0" xfId="0" applyNumberFormat="1" applyFont="1" applyBorder="1" applyAlignment="1" applyProtection="1">
      <alignment horizontal="center"/>
      <protection locked="0"/>
    </xf>
    <xf numFmtId="170" fontId="11" fillId="0" borderId="0" xfId="0" applyNumberFormat="1" applyFont="1" applyBorder="1" applyAlignment="1" applyProtection="1">
      <alignment horizontal="center"/>
      <protection locked="0"/>
    </xf>
    <xf numFmtId="173" fontId="6" fillId="0" borderId="0" xfId="0" applyNumberFormat="1" applyFont="1" applyBorder="1" applyAlignment="1" applyProtection="1">
      <alignment horizontal="right" indent="1"/>
      <protection locked="0"/>
    </xf>
    <xf numFmtId="3" fontId="6" fillId="0" borderId="0" xfId="0" applyNumberFormat="1" applyFont="1" applyBorder="1" applyAlignment="1" applyProtection="1">
      <alignment horizontal="center"/>
      <protection locked="0"/>
    </xf>
    <xf numFmtId="3" fontId="6" fillId="0" borderId="0" xfId="0" applyNumberFormat="1" applyFont="1" applyBorder="1" applyAlignment="1" applyProtection="1">
      <alignment horizontal="left"/>
      <protection locked="0"/>
    </xf>
    <xf numFmtId="1" fontId="6" fillId="0" borderId="0" xfId="0" applyNumberFormat="1" applyFont="1" applyBorder="1" applyAlignment="1" applyProtection="1">
      <alignment horizontal="center"/>
      <protection locked="0"/>
    </xf>
    <xf numFmtId="0" fontId="11" fillId="0" borderId="0" xfId="0" applyFont="1" applyBorder="1" applyProtection="1">
      <protection locked="0"/>
    </xf>
    <xf numFmtId="1" fontId="6" fillId="0" borderId="0" xfId="0" applyNumberFormat="1" applyFont="1" applyBorder="1" applyAlignment="1" applyProtection="1">
      <alignment horizontal="left"/>
      <protection locked="0"/>
    </xf>
    <xf numFmtId="0" fontId="11" fillId="0" borderId="0" xfId="0" quotePrefix="1" applyFont="1" applyBorder="1" applyProtection="1">
      <protection locked="0"/>
    </xf>
    <xf numFmtId="2" fontId="6" fillId="0" borderId="0" xfId="0" applyNumberFormat="1" applyFont="1" applyBorder="1" applyAlignment="1" applyProtection="1">
      <alignment horizontal="left"/>
      <protection locked="0"/>
    </xf>
    <xf numFmtId="0" fontId="11" fillId="0" borderId="0" xfId="0" applyFont="1" applyBorder="1" applyAlignment="1" applyProtection="1">
      <alignment horizontal="right"/>
      <protection locked="0"/>
    </xf>
    <xf numFmtId="0" fontId="11" fillId="0" borderId="7" xfId="0" applyFont="1" applyBorder="1" applyAlignment="1" applyProtection="1">
      <alignment horizontal="left"/>
      <protection locked="0"/>
    </xf>
    <xf numFmtId="3" fontId="6" fillId="0" borderId="0" xfId="0" applyNumberFormat="1" applyFont="1" applyBorder="1" applyAlignment="1" applyProtection="1">
      <alignment horizontal="right"/>
      <protection locked="0"/>
    </xf>
    <xf numFmtId="0" fontId="6" fillId="0" borderId="5" xfId="0" applyFont="1" applyBorder="1" applyAlignment="1" applyProtection="1">
      <protection locked="0"/>
    </xf>
    <xf numFmtId="0" fontId="11" fillId="0" borderId="0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right"/>
      <protection locked="0"/>
    </xf>
    <xf numFmtId="0" fontId="6" fillId="0" borderId="6" xfId="0" applyFont="1" applyBorder="1" applyAlignment="1" applyProtection="1">
      <alignment horizontal="right"/>
      <protection locked="0"/>
    </xf>
    <xf numFmtId="0" fontId="11" fillId="0" borderId="3" xfId="0" applyFont="1" applyBorder="1" applyAlignment="1" applyProtection="1">
      <alignment horizontal="right"/>
      <protection locked="0"/>
    </xf>
    <xf numFmtId="0" fontId="11" fillId="0" borderId="4" xfId="0" applyFont="1" applyBorder="1" applyAlignment="1" applyProtection="1">
      <alignment horizontal="left"/>
      <protection locked="0"/>
    </xf>
    <xf numFmtId="0" fontId="3" fillId="0" borderId="0" xfId="0" applyFont="1"/>
    <xf numFmtId="3" fontId="6" fillId="0" borderId="0" xfId="0" applyNumberFormat="1" applyFont="1" applyBorder="1" applyAlignment="1" applyProtection="1">
      <alignment horizontal="right"/>
      <protection locked="0"/>
    </xf>
    <xf numFmtId="3" fontId="6" fillId="0" borderId="0" xfId="0" applyNumberFormat="1" applyFont="1" applyBorder="1" applyAlignment="1" applyProtection="1">
      <alignment horizontal="right"/>
      <protection locked="0"/>
    </xf>
    <xf numFmtId="3" fontId="6" fillId="0" borderId="0" xfId="0" applyNumberFormat="1" applyFont="1" applyBorder="1" applyAlignment="1" applyProtection="1">
      <alignment horizontal="right"/>
      <protection locked="0"/>
    </xf>
    <xf numFmtId="3" fontId="6" fillId="0" borderId="0" xfId="0" applyNumberFormat="1" applyFont="1" applyBorder="1" applyAlignment="1" applyProtection="1">
      <alignment horizontal="right"/>
      <protection locked="0"/>
    </xf>
    <xf numFmtId="1" fontId="6" fillId="0" borderId="0" xfId="0" applyNumberFormat="1" applyFont="1"/>
    <xf numFmtId="0" fontId="2" fillId="0" borderId="0" xfId="0" applyFont="1"/>
    <xf numFmtId="174" fontId="6" fillId="0" borderId="0" xfId="0" applyNumberFormat="1" applyFont="1"/>
    <xf numFmtId="4" fontId="6" fillId="0" borderId="0" xfId="0" applyNumberFormat="1" applyFont="1"/>
    <xf numFmtId="175" fontId="6" fillId="0" borderId="0" xfId="0" applyNumberFormat="1" applyFont="1"/>
    <xf numFmtId="1" fontId="11" fillId="0" borderId="3" xfId="0" applyNumberFormat="1" applyFont="1" applyBorder="1"/>
    <xf numFmtId="0" fontId="11" fillId="0" borderId="6" xfId="0" applyFont="1" applyBorder="1"/>
    <xf numFmtId="3" fontId="6" fillId="0" borderId="0" xfId="0" applyNumberFormat="1" applyFont="1" applyBorder="1" applyAlignment="1" applyProtection="1">
      <alignment horizontal="right"/>
      <protection locked="0"/>
    </xf>
    <xf numFmtId="3" fontId="6" fillId="0" borderId="0" xfId="0" applyNumberFormat="1" applyFont="1" applyBorder="1" applyAlignment="1" applyProtection="1">
      <alignment horizontal="right"/>
      <protection locked="0"/>
    </xf>
    <xf numFmtId="3" fontId="6" fillId="0" borderId="0" xfId="0" applyNumberFormat="1" applyFont="1" applyBorder="1" applyAlignment="1" applyProtection="1">
      <alignment horizontal="right"/>
      <protection locked="0"/>
    </xf>
    <xf numFmtId="3" fontId="6" fillId="0" borderId="0" xfId="0" applyNumberFormat="1" applyFont="1" applyBorder="1" applyAlignment="1" applyProtection="1">
      <alignment horizontal="right"/>
      <protection locked="0"/>
    </xf>
    <xf numFmtId="3" fontId="6" fillId="0" borderId="0" xfId="0" applyNumberFormat="1" applyFont="1" applyBorder="1" applyAlignment="1" applyProtection="1">
      <alignment horizontal="right"/>
      <protection locked="0"/>
    </xf>
    <xf numFmtId="3" fontId="6" fillId="0" borderId="0" xfId="0" applyNumberFormat="1" applyFont="1" applyBorder="1" applyAlignment="1" applyProtection="1">
      <alignment horizontal="right"/>
      <protection locked="0"/>
    </xf>
    <xf numFmtId="3" fontId="6" fillId="0" borderId="0" xfId="0" applyNumberFormat="1" applyFont="1" applyBorder="1" applyAlignment="1" applyProtection="1">
      <alignment horizontal="right"/>
      <protection locked="0"/>
    </xf>
    <xf numFmtId="3" fontId="6" fillId="0" borderId="0" xfId="0" applyNumberFormat="1" applyFont="1" applyBorder="1" applyAlignment="1" applyProtection="1">
      <alignment horizontal="right"/>
      <protection locked="0"/>
    </xf>
    <xf numFmtId="3" fontId="6" fillId="0" borderId="0" xfId="0" applyNumberFormat="1" applyFont="1" applyBorder="1" applyAlignment="1" applyProtection="1">
      <alignment horizontal="right"/>
      <protection locked="0"/>
    </xf>
    <xf numFmtId="3" fontId="6" fillId="0" borderId="0" xfId="0" applyNumberFormat="1" applyFont="1" applyBorder="1" applyAlignment="1" applyProtection="1">
      <alignment horizontal="right"/>
      <protection locked="0"/>
    </xf>
    <xf numFmtId="3" fontId="6" fillId="0" borderId="0" xfId="0" applyNumberFormat="1" applyFont="1" applyBorder="1" applyAlignment="1" applyProtection="1">
      <alignment horizontal="right"/>
      <protection locked="0"/>
    </xf>
    <xf numFmtId="0" fontId="1" fillId="0" borderId="0" xfId="0" applyFont="1"/>
    <xf numFmtId="3" fontId="6" fillId="0" borderId="0" xfId="0" applyNumberFormat="1" applyFont="1" applyBorder="1" applyAlignment="1" applyProtection="1">
      <alignment horizontal="right"/>
      <protection locked="0"/>
    </xf>
    <xf numFmtId="3" fontId="6" fillId="0" borderId="0" xfId="0" applyNumberFormat="1" applyFont="1" applyBorder="1" applyAlignment="1" applyProtection="1">
      <alignment horizontal="right"/>
      <protection locked="0"/>
    </xf>
    <xf numFmtId="3" fontId="6" fillId="0" borderId="0" xfId="0" applyNumberFormat="1" applyFont="1" applyBorder="1" applyAlignment="1" applyProtection="1">
      <alignment horizontal="right"/>
      <protection locked="0"/>
    </xf>
    <xf numFmtId="3" fontId="6" fillId="0" borderId="0" xfId="0" applyNumberFormat="1" applyFont="1" applyBorder="1" applyAlignment="1" applyProtection="1">
      <alignment horizontal="right"/>
      <protection locked="0"/>
    </xf>
    <xf numFmtId="3" fontId="6" fillId="0" borderId="0" xfId="0" applyNumberFormat="1" applyFont="1" applyBorder="1" applyAlignment="1" applyProtection="1">
      <alignment horizontal="right"/>
      <protection locked="0"/>
    </xf>
    <xf numFmtId="3" fontId="6" fillId="0" borderId="0" xfId="0" applyNumberFormat="1" applyFont="1" applyBorder="1" applyAlignment="1" applyProtection="1">
      <alignment horizontal="right"/>
      <protection locked="0"/>
    </xf>
    <xf numFmtId="3" fontId="6" fillId="0" borderId="0" xfId="0" applyNumberFormat="1" applyFont="1" applyBorder="1" applyAlignment="1" applyProtection="1">
      <alignment horizontal="right"/>
      <protection locked="0"/>
    </xf>
    <xf numFmtId="0" fontId="11" fillId="0" borderId="7" xfId="0" applyFont="1" applyBorder="1" applyAlignment="1">
      <alignment horizontal="left"/>
    </xf>
    <xf numFmtId="0" fontId="11" fillId="0" borderId="8" xfId="0" applyFont="1" applyBorder="1" applyAlignment="1">
      <alignment horizontal="left"/>
    </xf>
    <xf numFmtId="0" fontId="11" fillId="0" borderId="4" xfId="0" applyFont="1" applyBorder="1" applyAlignment="1">
      <alignment horizontal="left"/>
    </xf>
    <xf numFmtId="0" fontId="11" fillId="0" borderId="2" xfId="0" applyFont="1" applyBorder="1" applyAlignment="1">
      <alignment horizontal="left"/>
    </xf>
    <xf numFmtId="0" fontId="11" fillId="0" borderId="0" xfId="0" applyFont="1" applyBorder="1" applyAlignment="1">
      <alignment horizontal="left"/>
    </xf>
    <xf numFmtId="0" fontId="11" fillId="0" borderId="5" xfId="0" applyFont="1" applyBorder="1" applyAlignment="1">
      <alignment horizontal="left"/>
    </xf>
    <xf numFmtId="0" fontId="11" fillId="0" borderId="8" xfId="0" applyFont="1" applyBorder="1" applyAlignment="1" applyProtection="1">
      <alignment horizontal="right"/>
      <protection locked="0"/>
    </xf>
    <xf numFmtId="0" fontId="11" fillId="0" borderId="0" xfId="0" applyFont="1" applyBorder="1" applyAlignment="1" applyProtection="1">
      <alignment horizontal="right"/>
      <protection locked="0"/>
    </xf>
    <xf numFmtId="0" fontId="11" fillId="0" borderId="7" xfId="0" applyFont="1" applyBorder="1" applyAlignment="1" applyProtection="1">
      <alignment horizontal="left"/>
      <protection locked="0"/>
    </xf>
    <xf numFmtId="0" fontId="11" fillId="0" borderId="8" xfId="0" applyFont="1" applyBorder="1" applyAlignment="1" applyProtection="1">
      <alignment horizontal="left"/>
      <protection locked="0"/>
    </xf>
    <xf numFmtId="3" fontId="6" fillId="0" borderId="0" xfId="0" applyNumberFormat="1" applyFont="1" applyBorder="1" applyAlignment="1" applyProtection="1">
      <alignment horizontal="right"/>
      <protection locked="0"/>
    </xf>
    <xf numFmtId="0" fontId="11" fillId="0" borderId="1" xfId="0" applyFont="1" applyBorder="1" applyAlignment="1">
      <alignment horizontal="left"/>
    </xf>
    <xf numFmtId="0" fontId="11" fillId="0" borderId="3" xfId="0" applyFont="1" applyBorder="1" applyAlignment="1">
      <alignment horizontal="left"/>
    </xf>
    <xf numFmtId="0" fontId="10" fillId="0" borderId="0" xfId="0" applyFont="1" applyAlignment="1" applyProtection="1">
      <alignment horizontal="center"/>
      <protection locked="0"/>
    </xf>
    <xf numFmtId="0" fontId="11" fillId="0" borderId="10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0" xfId="0" applyFont="1" applyAlignment="1" applyProtection="1">
      <alignment horizontal="center"/>
      <protection locked="0"/>
    </xf>
    <xf numFmtId="166" fontId="11" fillId="0" borderId="0" xfId="0" applyNumberFormat="1" applyFont="1" applyAlignment="1" applyProtection="1">
      <alignment horizontal="center"/>
      <protection locked="0"/>
    </xf>
    <xf numFmtId="167" fontId="11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11" fillId="0" borderId="10" xfId="0" applyFont="1" applyBorder="1" applyAlignment="1" applyProtection="1">
      <alignment horizontal="center"/>
      <protection locked="0"/>
    </xf>
    <xf numFmtId="0" fontId="11" fillId="0" borderId="11" xfId="0" applyFont="1" applyBorder="1" applyAlignment="1" applyProtection="1">
      <alignment horizontal="center"/>
      <protection locked="0"/>
    </xf>
    <xf numFmtId="0" fontId="11" fillId="0" borderId="11" xfId="0" applyFont="1" applyBorder="1" applyAlignment="1" applyProtection="1">
      <protection locked="0"/>
    </xf>
    <xf numFmtId="0" fontId="11" fillId="0" borderId="12" xfId="0" applyFont="1" applyBorder="1" applyAlignment="1" applyProtection="1">
      <protection locked="0"/>
    </xf>
    <xf numFmtId="0" fontId="11" fillId="0" borderId="2" xfId="0" applyFont="1" applyBorder="1" applyAlignment="1" applyProtection="1">
      <alignment horizontal="right"/>
      <protection locked="0"/>
    </xf>
    <xf numFmtId="0" fontId="6" fillId="0" borderId="5" xfId="0" applyFont="1" applyBorder="1" applyAlignment="1" applyProtection="1">
      <protection locked="0"/>
    </xf>
    <xf numFmtId="0" fontId="11" fillId="0" borderId="0" xfId="0" applyFont="1" applyBorder="1" applyAlignment="1" applyProtection="1">
      <alignment horizontal="center"/>
      <protection locked="0"/>
    </xf>
    <xf numFmtId="0" fontId="11" fillId="0" borderId="0" xfId="0" applyFont="1" applyBorder="1" applyAlignment="1" applyProtection="1">
      <protection locked="0"/>
    </xf>
    <xf numFmtId="0" fontId="11" fillId="0" borderId="5" xfId="0" applyFont="1" applyBorder="1" applyAlignment="1" applyProtection="1">
      <protection locked="0"/>
    </xf>
    <xf numFmtId="0" fontId="11" fillId="0" borderId="2" xfId="0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11" fillId="0" borderId="7" xfId="0" applyFont="1" applyBorder="1" applyAlignment="1" applyProtection="1">
      <alignment horizontal="center"/>
      <protection locked="0"/>
    </xf>
    <xf numFmtId="0" fontId="11" fillId="0" borderId="8" xfId="0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right"/>
      <protection locked="0"/>
    </xf>
    <xf numFmtId="0" fontId="6" fillId="0" borderId="6" xfId="0" applyFont="1" applyBorder="1" applyAlignment="1" applyProtection="1">
      <alignment horizontal="right"/>
      <protection locked="0"/>
    </xf>
    <xf numFmtId="0" fontId="13" fillId="0" borderId="0" xfId="1" applyFont="1" applyAlignment="1">
      <alignment horizontal="left"/>
    </xf>
    <xf numFmtId="0" fontId="11" fillId="0" borderId="3" xfId="0" applyFont="1" applyBorder="1" applyAlignment="1" applyProtection="1">
      <alignment horizontal="right"/>
      <protection locked="0"/>
    </xf>
    <xf numFmtId="0" fontId="11" fillId="0" borderId="4" xfId="0" applyFont="1" applyBorder="1" applyAlignment="1" applyProtection="1">
      <alignment horizontal="left"/>
      <protection locked="0"/>
    </xf>
    <xf numFmtId="0" fontId="11" fillId="0" borderId="1" xfId="0" applyFont="1" applyBorder="1" applyAlignment="1" applyProtection="1">
      <alignment horizontal="left"/>
      <protection locked="0"/>
    </xf>
    <xf numFmtId="0" fontId="11" fillId="0" borderId="3" xfId="0" applyFont="1" applyBorder="1" applyAlignment="1" applyProtection="1">
      <alignment horizontal="left"/>
      <protection locked="0"/>
    </xf>
    <xf numFmtId="0" fontId="11" fillId="0" borderId="6" xfId="0" applyFont="1" applyBorder="1" applyAlignment="1" applyProtection="1">
      <alignment horizontal="left"/>
      <protection locked="0"/>
    </xf>
    <xf numFmtId="168" fontId="11" fillId="0" borderId="7" xfId="0" applyNumberFormat="1" applyFont="1" applyBorder="1" applyAlignment="1" applyProtection="1">
      <alignment horizontal="left" vertical="top" wrapText="1"/>
      <protection locked="0"/>
    </xf>
    <xf numFmtId="168" fontId="11" fillId="0" borderId="8" xfId="0" applyNumberFormat="1" applyFont="1" applyBorder="1" applyAlignment="1" applyProtection="1">
      <alignment horizontal="left" vertical="top" wrapText="1"/>
      <protection locked="0"/>
    </xf>
    <xf numFmtId="168" fontId="11" fillId="0" borderId="2" xfId="0" applyNumberFormat="1" applyFont="1" applyBorder="1" applyAlignment="1" applyProtection="1">
      <alignment horizontal="left" vertical="top" wrapText="1"/>
      <protection locked="0"/>
    </xf>
    <xf numFmtId="168" fontId="11" fillId="0" borderId="0" xfId="0" applyNumberFormat="1" applyFont="1" applyBorder="1" applyAlignment="1" applyProtection="1">
      <alignment horizontal="left" vertical="top" wrapText="1"/>
      <protection locked="0"/>
    </xf>
    <xf numFmtId="168" fontId="11" fillId="0" borderId="1" xfId="0" applyNumberFormat="1" applyFont="1" applyBorder="1" applyAlignment="1" applyProtection="1">
      <alignment horizontal="left" vertical="top" wrapText="1"/>
      <protection locked="0"/>
    </xf>
    <xf numFmtId="168" fontId="11" fillId="0" borderId="3" xfId="0" applyNumberFormat="1" applyFont="1" applyBorder="1" applyAlignment="1" applyProtection="1">
      <alignment horizontal="left" vertical="top" wrapText="1"/>
      <protection locked="0"/>
    </xf>
    <xf numFmtId="171" fontId="11" fillId="0" borderId="8" xfId="0" applyNumberFormat="1" applyFont="1" applyBorder="1" applyAlignment="1" applyProtection="1">
      <alignment horizontal="right"/>
      <protection locked="0"/>
    </xf>
    <xf numFmtId="171" fontId="11" fillId="0" borderId="4" xfId="0" applyNumberFormat="1" applyFont="1" applyBorder="1" applyAlignment="1" applyProtection="1">
      <alignment horizontal="right"/>
      <protection locked="0"/>
    </xf>
    <xf numFmtId="171" fontId="11" fillId="0" borderId="0" xfId="0" applyNumberFormat="1" applyFont="1" applyBorder="1" applyAlignment="1" applyProtection="1">
      <alignment horizontal="right"/>
      <protection locked="0"/>
    </xf>
    <xf numFmtId="171" fontId="11" fillId="0" borderId="5" xfId="0" applyNumberFormat="1" applyFont="1" applyBorder="1" applyAlignment="1" applyProtection="1">
      <alignment horizontal="right"/>
      <protection locked="0"/>
    </xf>
    <xf numFmtId="171" fontId="11" fillId="0" borderId="3" xfId="0" applyNumberFormat="1" applyFont="1" applyBorder="1" applyAlignment="1" applyProtection="1">
      <alignment horizontal="right"/>
      <protection locked="0"/>
    </xf>
    <xf numFmtId="171" fontId="11" fillId="0" borderId="6" xfId="0" applyNumberFormat="1" applyFont="1" applyBorder="1" applyAlignment="1" applyProtection="1">
      <alignment horizontal="right"/>
      <protection locked="0"/>
    </xf>
    <xf numFmtId="3" fontId="6" fillId="0" borderId="8" xfId="0" applyNumberFormat="1" applyFont="1" applyBorder="1" applyAlignment="1" applyProtection="1">
      <alignment horizontal="right"/>
      <protection locked="0"/>
    </xf>
    <xf numFmtId="0" fontId="11" fillId="0" borderId="6" xfId="0" applyFont="1" applyBorder="1" applyAlignment="1" applyProtection="1">
      <alignment horizontal="right"/>
      <protection locked="0"/>
    </xf>
    <xf numFmtId="0" fontId="11" fillId="0" borderId="12" xfId="0" applyFont="1" applyBorder="1" applyAlignment="1" applyProtection="1">
      <alignment horizontal="center"/>
      <protection locked="0"/>
    </xf>
    <xf numFmtId="0" fontId="11" fillId="0" borderId="5" xfId="0" applyFont="1" applyBorder="1" applyAlignment="1" applyProtection="1">
      <alignment horizontal="right"/>
      <protection locked="0"/>
    </xf>
    <xf numFmtId="0" fontId="11" fillId="0" borderId="3" xfId="0" applyFont="1" applyBorder="1" applyAlignment="1" applyProtection="1">
      <alignment horizontal="center"/>
      <protection locked="0"/>
    </xf>
    <xf numFmtId="166" fontId="11" fillId="0" borderId="3" xfId="0" applyNumberFormat="1" applyFont="1" applyBorder="1" applyAlignment="1" applyProtection="1">
      <alignment horizontal="center"/>
      <protection locked="0"/>
    </xf>
    <xf numFmtId="167" fontId="11" fillId="0" borderId="3" xfId="0" applyNumberFormat="1" applyFont="1" applyBorder="1" applyAlignment="1" applyProtection="1">
      <alignment horizontal="center"/>
      <protection locked="0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20">
    <dxf>
      <font>
        <b/>
        <i val="0"/>
        <color theme="5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border>
        <bottom style="thin">
          <color auto="1"/>
        </bottom>
        <vertical/>
        <horizontal/>
      </border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border>
        <bottom style="thin">
          <color auto="1"/>
        </bottom>
        <vertical/>
        <horizontal/>
      </border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border>
        <bottom style="thin">
          <color auto="1"/>
        </bottom>
        <vertical/>
        <horizontal/>
      </border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border>
        <bottom style="thin">
          <color auto="1"/>
        </bottom>
        <vertical/>
        <horizontal/>
      </border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b/>
        <i val="0"/>
        <color theme="5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border>
        <bottom style="thin">
          <color auto="1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16</xdr:row>
          <xdr:rowOff>19050</xdr:rowOff>
        </xdr:from>
        <xdr:to>
          <xdr:col>17</xdr:col>
          <xdr:colOff>590550</xdr:colOff>
          <xdr:row>18</xdr:row>
          <xdr:rowOff>161925</xdr:rowOff>
        </xdr:to>
        <xdr:sp macro="" textlink="">
          <xdr:nvSpPr>
            <xdr:cNvPr id="297988" name="Button 4" hidden="1">
              <a:extLst>
                <a:ext uri="{63B3BB69-23CF-44E3-9099-C40C66FF867C}">
                  <a14:compatExt spid="_x0000_s297988"/>
                </a:ext>
                <a:ext uri="{FF2B5EF4-FFF2-40B4-BE49-F238E27FC236}">
                  <a16:creationId xmlns:a16="http://schemas.microsoft.com/office/drawing/2014/main" id="{00000000-0008-0000-0500-0000048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Prep Db Data &amp;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Pdf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13</xdr:row>
          <xdr:rowOff>19050</xdr:rowOff>
        </xdr:from>
        <xdr:to>
          <xdr:col>17</xdr:col>
          <xdr:colOff>590550</xdr:colOff>
          <xdr:row>15</xdr:row>
          <xdr:rowOff>161925</xdr:rowOff>
        </xdr:to>
        <xdr:sp macro="" textlink="">
          <xdr:nvSpPr>
            <xdr:cNvPr id="297989" name="Button 5" hidden="1">
              <a:extLst>
                <a:ext uri="{63B3BB69-23CF-44E3-9099-C40C66FF867C}">
                  <a14:compatExt spid="_x0000_s297989"/>
                </a:ext>
                <a:ext uri="{FF2B5EF4-FFF2-40B4-BE49-F238E27FC236}">
                  <a16:creationId xmlns:a16="http://schemas.microsoft.com/office/drawing/2014/main" id="{00000000-0008-0000-0500-0000058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10</xdr:row>
          <xdr:rowOff>19050</xdr:rowOff>
        </xdr:from>
        <xdr:to>
          <xdr:col>17</xdr:col>
          <xdr:colOff>590550</xdr:colOff>
          <xdr:row>12</xdr:row>
          <xdr:rowOff>161925</xdr:rowOff>
        </xdr:to>
        <xdr:sp macro="" textlink="">
          <xdr:nvSpPr>
            <xdr:cNvPr id="297990" name="Button 6" hidden="1">
              <a:extLst>
                <a:ext uri="{63B3BB69-23CF-44E3-9099-C40C66FF867C}">
                  <a14:compatExt spid="_x0000_s297990"/>
                </a:ext>
                <a:ext uri="{FF2B5EF4-FFF2-40B4-BE49-F238E27FC236}">
                  <a16:creationId xmlns:a16="http://schemas.microsoft.com/office/drawing/2014/main" id="{00000000-0008-0000-0500-0000068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1"/>
  <dimension ref="A1:AF47"/>
  <sheetViews>
    <sheetView zoomScale="90" zoomScaleNormal="90" workbookViewId="0">
      <selection activeCell="E37" sqref="E37"/>
    </sheetView>
  </sheetViews>
  <sheetFormatPr defaultColWidth="9.140625" defaultRowHeight="14.25" x14ac:dyDescent="0.2"/>
  <cols>
    <col min="1" max="1" width="8" style="24" customWidth="1"/>
    <col min="2" max="2" width="11" style="24" customWidth="1"/>
    <col min="3" max="3" width="2" style="24" customWidth="1"/>
    <col min="4" max="5" width="9.85546875" style="24" customWidth="1"/>
    <col min="6" max="6" width="2" style="24" customWidth="1"/>
    <col min="7" max="7" width="9.85546875" style="24" customWidth="1"/>
    <col min="8" max="8" width="2" style="24" customWidth="1"/>
    <col min="9" max="9" width="9.85546875" style="24" customWidth="1"/>
    <col min="10" max="10" width="2" style="24" customWidth="1"/>
    <col min="11" max="11" width="9.85546875" style="24" customWidth="1"/>
    <col min="12" max="12" width="2" style="24" customWidth="1"/>
    <col min="13" max="13" width="9.85546875" style="24" customWidth="1"/>
    <col min="14" max="14" width="2" style="24" customWidth="1"/>
    <col min="15" max="15" width="9.28515625" style="24" customWidth="1"/>
    <col min="16" max="16" width="11" style="24" bestFit="1" customWidth="1"/>
    <col min="17" max="17" width="10.140625" style="24" bestFit="1" customWidth="1"/>
    <col min="18" max="20" width="9.140625" style="24"/>
    <col min="21" max="21" width="11.7109375" style="24" bestFit="1" customWidth="1"/>
    <col min="22" max="23" width="9.140625" style="24"/>
    <col min="24" max="24" width="12" style="24" customWidth="1"/>
    <col min="25" max="16384" width="9.140625" style="24"/>
  </cols>
  <sheetData>
    <row r="1" spans="1:32" ht="15.75" x14ac:dyDescent="0.25">
      <c r="A1" s="160" t="s">
        <v>43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23"/>
      <c r="P1" s="184" t="s">
        <v>67</v>
      </c>
      <c r="Q1" s="184"/>
      <c r="R1" s="116" t="s">
        <v>68</v>
      </c>
    </row>
    <row r="2" spans="1:32" ht="15.75" x14ac:dyDescent="0.25">
      <c r="A2" s="160" t="s">
        <v>48</v>
      </c>
      <c r="B2" s="160"/>
      <c r="C2" s="160"/>
      <c r="D2" s="160"/>
      <c r="E2" s="160"/>
      <c r="F2" s="160" t="s">
        <v>36</v>
      </c>
      <c r="G2" s="160"/>
      <c r="H2" s="160"/>
      <c r="I2" s="160"/>
      <c r="J2" s="160"/>
      <c r="K2" s="160"/>
      <c r="L2" s="160"/>
      <c r="M2" s="160"/>
      <c r="N2" s="160"/>
      <c r="Y2" s="23"/>
      <c r="Z2" s="23"/>
      <c r="AA2" s="23"/>
      <c r="AB2" s="23"/>
      <c r="AC2" s="23"/>
      <c r="AD2" s="23"/>
      <c r="AE2" s="23"/>
      <c r="AF2" s="23"/>
    </row>
    <row r="3" spans="1:32" ht="15" x14ac:dyDescent="0.25">
      <c r="A3" s="164" t="s">
        <v>52</v>
      </c>
      <c r="B3" s="164"/>
      <c r="C3" s="164"/>
      <c r="D3" s="164"/>
      <c r="E3" s="164"/>
      <c r="F3" s="165">
        <f>'CWMS Data'!$B$9</f>
        <v>44044</v>
      </c>
      <c r="G3" s="165"/>
      <c r="H3" s="165"/>
      <c r="I3" s="166" t="s">
        <v>35</v>
      </c>
      <c r="J3" s="167"/>
      <c r="K3" s="167"/>
      <c r="L3" s="167"/>
      <c r="M3" s="167"/>
      <c r="N3" s="167"/>
    </row>
    <row r="4" spans="1:32" ht="15" x14ac:dyDescent="0.25">
      <c r="A4" s="6"/>
      <c r="B4" s="6"/>
      <c r="C4" s="7"/>
      <c r="D4" s="179" t="s">
        <v>56</v>
      </c>
      <c r="E4" s="180"/>
      <c r="F4" s="181"/>
      <c r="G4" s="168" t="s">
        <v>34</v>
      </c>
      <c r="H4" s="169"/>
      <c r="I4" s="169"/>
      <c r="J4" s="169"/>
      <c r="K4" s="169"/>
      <c r="L4" s="170"/>
      <c r="M4" s="170"/>
      <c r="N4" s="171"/>
      <c r="O4" s="25"/>
    </row>
    <row r="5" spans="1:32" ht="15" x14ac:dyDescent="0.25">
      <c r="A5" s="8">
        <f>$F$3</f>
        <v>44044</v>
      </c>
      <c r="B5" s="172" t="s">
        <v>27</v>
      </c>
      <c r="C5" s="173"/>
      <c r="D5" s="21" t="s">
        <v>57</v>
      </c>
      <c r="E5" s="22" t="s">
        <v>58</v>
      </c>
      <c r="F5" s="26"/>
      <c r="G5" s="174" t="s">
        <v>28</v>
      </c>
      <c r="H5" s="174"/>
      <c r="I5" s="174"/>
      <c r="J5" s="175"/>
      <c r="K5" s="175"/>
      <c r="L5" s="176"/>
      <c r="M5" s="177" t="s">
        <v>29</v>
      </c>
      <c r="N5" s="178"/>
    </row>
    <row r="6" spans="1:32" ht="15" x14ac:dyDescent="0.25">
      <c r="A6" s="9">
        <f>$F$3</f>
        <v>44044</v>
      </c>
      <c r="B6" s="182" t="s">
        <v>42</v>
      </c>
      <c r="C6" s="183"/>
      <c r="D6" s="10" t="s">
        <v>40</v>
      </c>
      <c r="E6" s="11" t="s">
        <v>41</v>
      </c>
      <c r="F6" s="27"/>
      <c r="G6" s="11" t="s">
        <v>37</v>
      </c>
      <c r="H6" s="11"/>
      <c r="I6" s="11" t="s">
        <v>38</v>
      </c>
      <c r="J6" s="11"/>
      <c r="K6" s="11" t="s">
        <v>39</v>
      </c>
      <c r="L6" s="12"/>
      <c r="M6" s="10"/>
      <c r="N6" s="28"/>
      <c r="O6" s="29"/>
      <c r="P6" s="161" t="s">
        <v>51</v>
      </c>
      <c r="Q6" s="162"/>
      <c r="R6" s="162"/>
      <c r="S6" s="163"/>
    </row>
    <row r="7" spans="1:32" ht="15" x14ac:dyDescent="0.25">
      <c r="A7" s="30">
        <f>IF(ISBLANK('CWMS Data'!$B9), "", 'CWMS Data'!$B9)</f>
        <v>44044</v>
      </c>
      <c r="B7" s="31">
        <f>IF(ISBLANK('CWMS Data'!$K9), "", 'CWMS Data'!$K9)</f>
        <v>2240.06</v>
      </c>
      <c r="C7" s="13" t="str">
        <f>IF(B7=MAX(B$7:B$37),"+", IF(B7=MIN(B$7:B$37), "-", ""))</f>
        <v>+</v>
      </c>
      <c r="D7" s="32">
        <f>IF(ISBLANK('CWMS Data'!$D9), "", 'CWMS Data'!$D9)</f>
        <v>0.4</v>
      </c>
      <c r="E7" s="33">
        <f>IF(ISBLANK('CWMS Data'!$C9), "", 'CWMS Data'!$C9)</f>
        <v>2400</v>
      </c>
      <c r="F7" s="13" t="str">
        <f>IF(E7=MAX(E$7:E$37),"+", IF(E7=MIN(E$7:E$37), "-", ""))</f>
        <v/>
      </c>
      <c r="G7" s="34">
        <f>IF(ISBLANK('CWMS Data'!$E9), "", 'CWMS Data'!$E9)</f>
        <v>8500</v>
      </c>
      <c r="H7" s="16" t="str">
        <f>IF(G7=MAX(G$7:G$37),"+", IF(G7=MIN(G$7:G$37), "-", ""))</f>
        <v/>
      </c>
      <c r="I7" s="33">
        <f>IF(ISBLANK('CWMS Data'!$F9), "", 'CWMS Data'!$F9)</f>
        <v>0</v>
      </c>
      <c r="J7" s="16" t="str">
        <f>IF(I7=MAX(I$7:I$37),"+", IF(I7=MIN(I$7:I$37), "-", ""))</f>
        <v>+</v>
      </c>
      <c r="K7" s="119">
        <f t="shared" ref="K7:K36" si="0">IF(A7="","",I7+G7)</f>
        <v>8500</v>
      </c>
      <c r="L7" s="13" t="str">
        <f>IF(K7=MAX(K$7:K$37),"+", IF(K7=MIN(K$7:K$37), "-", ""))</f>
        <v/>
      </c>
      <c r="M7" s="34">
        <f>IF(ISBLANK('CWMS Data'!$H9), "", 'CWMS Data'!$H9)</f>
        <v>8000.0000000000009</v>
      </c>
      <c r="N7" s="13" t="str">
        <f>IF(M7=MAX(M$7:M$37),"+", IF(M7=MIN(M$7:M$37), "-", ""))</f>
        <v>+</v>
      </c>
      <c r="O7" s="35"/>
      <c r="P7" s="147" t="str">
        <f>IF(ROUND(FTPK_Storage_Diff_cfs, -3)&lt;0, "Add " &amp; ABS(ROUNDDOWN(FTPK_Storage_Diff_cfs, -3)) &amp; " cfs to inflow", "Subtract " &amp; IF(ABS(FTPK_Storage_Diff_acft) &lt; 100, 0, ABS(ROUNDDOWN(FTPK_Storage_Diff_cfs, -3))) &amp; " cfs to inflow")</f>
        <v>Subtract 0 cfs to inflow</v>
      </c>
      <c r="Q7" s="148"/>
      <c r="R7" s="148"/>
      <c r="S7" s="149"/>
    </row>
    <row r="8" spans="1:32" ht="15" x14ac:dyDescent="0.25">
      <c r="A8" s="30">
        <f>IF(ISBLANK('CWMS Data'!$B10), "", 'CWMS Data'!$B10)</f>
        <v>44045</v>
      </c>
      <c r="B8" s="31">
        <f>IF(ISBLANK('CWMS Data'!$K10), "", 'CWMS Data'!$K10)</f>
        <v>2239.9499999999998</v>
      </c>
      <c r="C8" s="13" t="str">
        <f t="array" ref="C8">IF(AND(B8=MAX(B$7:B$37), C$7:C7&lt;&gt;"+"), "+", IF(AND(B8=MIN(B$7:B$37), C$7:C7&lt;&gt;"-"), "-", ""))</f>
        <v/>
      </c>
      <c r="D8" s="32">
        <f>IF(ISBLANK('CWMS Data'!$D10), "", 'CWMS Data'!$D10)</f>
        <v>0.4</v>
      </c>
      <c r="E8" s="141">
        <f>IF(ISBLANK('CWMS Data'!$C10), "", 'CWMS Data'!$C10)</f>
        <v>2400</v>
      </c>
      <c r="F8" s="13" t="str">
        <f t="array" ref="F8">IF(AND(E8=MAX(E$7:E$37), F$7:F7&lt;&gt;"+"), "+", IF(AND(E8=MIN(E$7:E$37), F$7:F7&lt;&gt;"-"), "-", ""))</f>
        <v/>
      </c>
      <c r="G8" s="34">
        <f>IF(ISBLANK('CWMS Data'!$E10), "", 'CWMS Data'!$E10)</f>
        <v>8100.0000000000009</v>
      </c>
      <c r="H8" s="14" t="str">
        <f t="array" ref="H8">IF(AND(G8=MAX(G$7:G$37), H$7:H7&lt;&gt;"+"), "+", IF(AND(G8=MIN(G$7:G$37), H$7:H7&lt;&gt;"-"), "-", ""))</f>
        <v>-</v>
      </c>
      <c r="I8" s="33">
        <f>IF(ISBLANK('CWMS Data'!$F10), "", 'CWMS Data'!$F10)</f>
        <v>0</v>
      </c>
      <c r="J8" s="14" t="str">
        <f t="array" ref="J8">IF(AND(I8=MAX(I$7:I$37), J$7:J7&lt;&gt;"+"), "+", IF(AND(I8=MIN(I$7:I$37), J$7:J7&lt;&gt;"-"), "-", ""))</f>
        <v>-</v>
      </c>
      <c r="K8" s="119">
        <f t="shared" si="0"/>
        <v>8100.0000000000009</v>
      </c>
      <c r="L8" s="13" t="str">
        <f t="array" ref="L8">IF(AND(K8=MAX(K$7:K$37), L$7:L7&lt;&gt;"+"), "+", IF(AND(K8=MIN(K$7:K$37), L$7:L7&lt;&gt;"-"), "-", ""))</f>
        <v>-</v>
      </c>
      <c r="M8" s="34">
        <f>IF(ISBLANK('CWMS Data'!$H10), "", 'CWMS Data'!$H10)</f>
        <v>8000.0000000000009</v>
      </c>
      <c r="N8" s="13" t="str">
        <f t="array" ref="N8">IF(AND(M8=MAX(M$7:M$37), N$7:N7&lt;&gt;"+"), "+", IF(AND(M8=MIN(M$7:M$37), N$7:N7&lt;&gt;"-"), "-", ""))</f>
        <v/>
      </c>
      <c r="O8" s="35"/>
      <c r="P8" s="150" t="str">
        <f>IF(ROUND(ROUNDDOWN(FTPK_Storage_Diff_cfs, -3) - FTPK_Storage_Diff_cfs, -2)&lt;0, "Add ", "Subtract ") &amp; IF(ABS(FTPK_Storage_Diff_acft) &lt; 100, 0, ABS(ROUND(ROUNDDOWN(FTPK_Storage_Diff_cfs, -3) - FTPK_Storage_Diff_cfs, -2))) &amp; " cfs to evap"</f>
        <v>Subtract 0 cfs to evap</v>
      </c>
      <c r="Q8" s="151"/>
      <c r="R8" s="151"/>
      <c r="S8" s="152"/>
      <c r="X8" s="35"/>
    </row>
    <row r="9" spans="1:32" ht="15" x14ac:dyDescent="0.25">
      <c r="A9" s="30">
        <f>IF(ISBLANK('CWMS Data'!$B11), "", 'CWMS Data'!$B11)</f>
        <v>44046</v>
      </c>
      <c r="B9" s="31">
        <f>IF(ISBLANK('CWMS Data'!$K11), "", 'CWMS Data'!$K11)</f>
        <v>2240.0100000000002</v>
      </c>
      <c r="C9" s="13" t="str">
        <f t="array" ref="C9">IF(AND(B9=MAX(B$7:B$37), C$7:C8&lt;&gt;"+"), "+", IF(AND(B9=MIN(B$7:B$37), C$7:C8&lt;&gt;"-"), "-", ""))</f>
        <v/>
      </c>
      <c r="D9" s="32">
        <f>IF(ISBLANK('CWMS Data'!$D11), "", 'CWMS Data'!$D11)</f>
        <v>0.4</v>
      </c>
      <c r="E9" s="141">
        <f>IF(ISBLANK('CWMS Data'!$C11), "", 'CWMS Data'!$C11)</f>
        <v>2400</v>
      </c>
      <c r="F9" s="13" t="str">
        <f t="array" ref="F9">IF(AND(E9=MAX(E$7:E$37), F$7:F8&lt;&gt;"+"), "+", IF(AND(E9=MIN(E$7:E$37), F$7:F8&lt;&gt;"-"), "-", ""))</f>
        <v/>
      </c>
      <c r="G9" s="34">
        <f>IF(ISBLANK('CWMS Data'!$E11), "", 'CWMS Data'!$E11)</f>
        <v>8500</v>
      </c>
      <c r="H9" s="14" t="str">
        <f t="array" ref="H9">IF(AND(G9=MAX(G$7:G$37), H$7:H8&lt;&gt;"+"), "+", IF(AND(G9=MIN(G$7:G$37), H$7:H8&lt;&gt;"-"), "-", ""))</f>
        <v/>
      </c>
      <c r="I9" s="33">
        <f>IF(ISBLANK('CWMS Data'!$F11), "", 'CWMS Data'!$F11)</f>
        <v>0</v>
      </c>
      <c r="J9" s="14" t="str">
        <f t="array" ref="J9">IF(AND(I9=MAX(I$7:I$37), J$7:J8&lt;&gt;"+"), "+", IF(AND(I9=MIN(I$7:I$37), J$7:J8&lt;&gt;"-"), "-", ""))</f>
        <v/>
      </c>
      <c r="K9" s="119">
        <f t="shared" si="0"/>
        <v>8500</v>
      </c>
      <c r="L9" s="13" t="str">
        <f t="array" ref="L9">IF(AND(K9=MAX(K$7:K$37), L$7:L8&lt;&gt;"+"), "+", IF(AND(K9=MIN(K$7:K$37), L$7:L8&lt;&gt;"-"), "-", ""))</f>
        <v/>
      </c>
      <c r="M9" s="34">
        <f>IF(ISBLANK('CWMS Data'!$H11), "", 'CWMS Data'!$H11)</f>
        <v>8000.0000000000009</v>
      </c>
      <c r="N9" s="13" t="str">
        <f t="array" ref="N9">IF(AND(M9=MAX(M$7:M$37), N$7:N8&lt;&gt;"+"), "+", IF(AND(M9=MIN(M$7:M$37), N$7:N8&lt;&gt;"-"), "-", ""))</f>
        <v/>
      </c>
      <c r="O9" s="35"/>
      <c r="P9" s="158" t="s">
        <v>70</v>
      </c>
      <c r="Q9" s="159"/>
      <c r="R9" s="126">
        <f>FTPK_Storage_Diff_acft</f>
        <v>57.851239669485949</v>
      </c>
      <c r="S9" s="127" t="s">
        <v>71</v>
      </c>
      <c r="X9" s="35"/>
    </row>
    <row r="10" spans="1:32" ht="15" x14ac:dyDescent="0.25">
      <c r="A10" s="30">
        <f>IF(ISBLANK('CWMS Data'!$B12), "", 'CWMS Data'!$B12)</f>
        <v>44047</v>
      </c>
      <c r="B10" s="31">
        <f>IF(ISBLANK('CWMS Data'!$K12), "", 'CWMS Data'!$K12)</f>
        <v>2240.0100000000002</v>
      </c>
      <c r="C10" s="13" t="str">
        <f t="array" ref="C10">IF(AND(B10=MAX(B$7:B$37), C$7:C9&lt;&gt;"+"), "+", IF(AND(B10=MIN(B$7:B$37), C$7:C9&lt;&gt;"-"), "-", ""))</f>
        <v/>
      </c>
      <c r="D10" s="32">
        <f>IF(ISBLANK('CWMS Data'!$D12), "", 'CWMS Data'!$D12)</f>
        <v>0.3</v>
      </c>
      <c r="E10" s="141">
        <v>1900</v>
      </c>
      <c r="F10" s="13" t="str">
        <f t="array" ref="F10">IF(AND(E10=MAX(E$7:E$37), F$7:F9&lt;&gt;"+"), "+", IF(AND(E10=MIN(E$7:E$37), F$7:F9&lt;&gt;"-"), "-", ""))</f>
        <v/>
      </c>
      <c r="G10" s="34">
        <f>IF(ISBLANK('CWMS Data'!$E12), "", 'CWMS Data'!$E12)</f>
        <v>8800.0000000000018</v>
      </c>
      <c r="H10" s="14" t="str">
        <f t="array" ref="H10">IF(AND(G10=MAX(G$7:G$37), H$7:H9&lt;&gt;"+"), "+", IF(AND(G10=MIN(G$7:G$37), H$7:H9&lt;&gt;"-"), "-", ""))</f>
        <v/>
      </c>
      <c r="I10" s="33">
        <f>IF(ISBLANK('CWMS Data'!$F12), "", 'CWMS Data'!$F12)</f>
        <v>0</v>
      </c>
      <c r="J10" s="14" t="str">
        <f t="array" ref="J10">IF(AND(I10=MAX(I$7:I$37), J$7:J9&lt;&gt;"+"), "+", IF(AND(I10=MIN(I$7:I$37), J$7:J9&lt;&gt;"-"), "-", ""))</f>
        <v/>
      </c>
      <c r="K10" s="119">
        <f t="shared" si="0"/>
        <v>8800.0000000000018</v>
      </c>
      <c r="L10" s="13" t="str">
        <f t="array" ref="L10">IF(AND(K10=MAX(K$7:K$37), L$7:L9&lt;&gt;"+"), "+", IF(AND(K10=MIN(K$7:K$37), L$7:L9&lt;&gt;"-"), "-", ""))</f>
        <v/>
      </c>
      <c r="M10" s="34">
        <f>IF(ISBLANK('CWMS Data'!$H12), "", 'CWMS Data'!$H12)</f>
        <v>7000.0000000000009</v>
      </c>
      <c r="N10" s="13" t="str">
        <f t="array" ref="N10">IF(AND(M10=MAX(M$7:M$37), N$7:N9&lt;&gt;"+"), "+", IF(AND(M10=MIN(M$7:M$37), N$7:N9&lt;&gt;"-"), "-", ""))</f>
        <v/>
      </c>
      <c r="O10" s="35"/>
      <c r="X10" s="35"/>
    </row>
    <row r="11" spans="1:32" ht="15" x14ac:dyDescent="0.25">
      <c r="A11" s="36">
        <f>IF(ISBLANK('CWMS Data'!$B13), "", 'CWMS Data'!$B13)</f>
        <v>44048</v>
      </c>
      <c r="B11" s="31">
        <f>IF(ISBLANK('CWMS Data'!$K13), "", 'CWMS Data'!$K13)</f>
        <v>2239.9499999999998</v>
      </c>
      <c r="C11" s="13" t="str">
        <f t="array" ref="C11">IF(AND(B11=MAX(B$7:B$37), C$7:C10&lt;&gt;"+"), "+", IF(AND(B11=MIN(B$7:B$37), C$7:C10&lt;&gt;"-"), "-", ""))</f>
        <v/>
      </c>
      <c r="D11" s="32">
        <f>IF(ISBLANK('CWMS Data'!$D13), "", 'CWMS Data'!$D13)</f>
        <v>0.3</v>
      </c>
      <c r="E11" s="141">
        <f>IF(ISBLANK('CWMS Data'!$C13), "", 'CWMS Data'!$C13)</f>
        <v>1800.0000000000002</v>
      </c>
      <c r="F11" s="13" t="str">
        <f t="array" ref="F11">IF(AND(E11=MAX(E$7:E$37), F$7:F10&lt;&gt;"+"), "+", IF(AND(E11=MIN(E$7:E$37), F$7:F10&lt;&gt;"-"), "-", ""))</f>
        <v/>
      </c>
      <c r="G11" s="34">
        <f>IF(ISBLANK('CWMS Data'!$E13), "", 'CWMS Data'!$E13)</f>
        <v>8800.0000000000018</v>
      </c>
      <c r="H11" s="14" t="str">
        <f t="array" ref="H11">IF(AND(G11=MAX(G$7:G$37), H$7:H10&lt;&gt;"+"), "+", IF(AND(G11=MIN(G$7:G$37), H$7:H10&lt;&gt;"-"), "-", ""))</f>
        <v/>
      </c>
      <c r="I11" s="33">
        <f>IF(ISBLANK('CWMS Data'!$F13), "", 'CWMS Data'!$F13)</f>
        <v>0</v>
      </c>
      <c r="J11" s="14" t="str">
        <f t="array" ref="J11">IF(AND(I11=MAX(I$7:I$37), J$7:J10&lt;&gt;"+"), "+", IF(AND(I11=MIN(I$7:I$37), J$7:J10&lt;&gt;"-"), "-", ""))</f>
        <v/>
      </c>
      <c r="K11" s="119">
        <f t="shared" si="0"/>
        <v>8800.0000000000018</v>
      </c>
      <c r="L11" s="13" t="str">
        <f t="array" ref="L11">IF(AND(K11=MAX(K$7:K$37), L$7:L10&lt;&gt;"+"), "+", IF(AND(K11=MIN(K$7:K$37), L$7:L10&lt;&gt;"-"), "-", ""))</f>
        <v/>
      </c>
      <c r="M11" s="34">
        <f>IF(ISBLANK('CWMS Data'!$H13), "", 'CWMS Data'!$H13)</f>
        <v>7000.0000000000009</v>
      </c>
      <c r="N11" s="13" t="str">
        <f t="array" ref="N11">IF(AND(M11=MAX(M$7:M$37), N$7:N10&lt;&gt;"+"), "+", IF(AND(M11=MIN(M$7:M$37), N$7:N10&lt;&gt;"-"), "-", ""))</f>
        <v/>
      </c>
      <c r="O11" s="35"/>
      <c r="Q11" s="35"/>
    </row>
    <row r="12" spans="1:32" ht="15" x14ac:dyDescent="0.25">
      <c r="A12" s="30">
        <f>IF(ISBLANK('CWMS Data'!$B14), "", 'CWMS Data'!$B14)</f>
        <v>44049</v>
      </c>
      <c r="B12" s="31">
        <f>IF(ISBLANK('CWMS Data'!$K14), "", 'CWMS Data'!$K14)</f>
        <v>2239.91</v>
      </c>
      <c r="C12" s="13" t="str">
        <f t="array" ref="C12">IF(AND(B12=MAX(B$7:B$37), C$7:C11&lt;&gt;"+"), "+", IF(AND(B12=MIN(B$7:B$37), C$7:C11&lt;&gt;"-"), "-", ""))</f>
        <v/>
      </c>
      <c r="D12" s="32">
        <f>IF(ISBLANK('CWMS Data'!$D14), "", 'CWMS Data'!$D14)</f>
        <v>0.4</v>
      </c>
      <c r="E12" s="141">
        <f>IF(ISBLANK('CWMS Data'!$C14), "", 'CWMS Data'!$C14)</f>
        <v>2400</v>
      </c>
      <c r="F12" s="13" t="str">
        <f t="array" ref="F12">IF(AND(E12=MAX(E$7:E$37), F$7:F11&lt;&gt;"+"), "+", IF(AND(E12=MIN(E$7:E$37), F$7:F11&lt;&gt;"-"), "-", ""))</f>
        <v/>
      </c>
      <c r="G12" s="34">
        <f>IF(ISBLANK('CWMS Data'!$E14), "", 'CWMS Data'!$E14)</f>
        <v>8400</v>
      </c>
      <c r="H12" s="14" t="str">
        <f t="array" ref="H12">IF(AND(G12=MAX(G$7:G$37), H$7:H11&lt;&gt;"+"), "+", IF(AND(G12=MIN(G$7:G$37), H$7:H11&lt;&gt;"-"), "-", ""))</f>
        <v/>
      </c>
      <c r="I12" s="33">
        <f>IF(ISBLANK('CWMS Data'!$F14), "", 'CWMS Data'!$F14)</f>
        <v>0</v>
      </c>
      <c r="J12" s="14" t="str">
        <f t="array" ref="J12">IF(AND(I12=MAX(I$7:I$37), J$7:J11&lt;&gt;"+"), "+", IF(AND(I12=MIN(I$7:I$37), J$7:J11&lt;&gt;"-"), "-", ""))</f>
        <v/>
      </c>
      <c r="K12" s="119">
        <f t="shared" si="0"/>
        <v>8400</v>
      </c>
      <c r="L12" s="13" t="str">
        <f t="array" ref="L12">IF(AND(K12=MAX(K$7:K$37), L$7:L11&lt;&gt;"+"), "+", IF(AND(K12=MIN(K$7:K$37), L$7:L11&lt;&gt;"-"), "-", ""))</f>
        <v/>
      </c>
      <c r="M12" s="34">
        <f>IF(ISBLANK('CWMS Data'!$H14), "", 'CWMS Data'!$H14)</f>
        <v>8000.0000000000009</v>
      </c>
      <c r="N12" s="13" t="str">
        <f t="array" ref="N12">IF(AND(M12=MAX(M$7:M$37), N$7:N11&lt;&gt;"+"), "+", IF(AND(M12=MIN(M$7:M$37), N$7:N11&lt;&gt;"-"), "-", ""))</f>
        <v/>
      </c>
      <c r="O12" s="35"/>
      <c r="P12" s="35"/>
      <c r="Q12" s="35"/>
    </row>
    <row r="13" spans="1:32" ht="15" x14ac:dyDescent="0.25">
      <c r="A13" s="30">
        <f>IF(ISBLANK('CWMS Data'!$B15), "", 'CWMS Data'!$B15)</f>
        <v>44050</v>
      </c>
      <c r="B13" s="31">
        <f>IF(ISBLANK('CWMS Data'!$K15), "", 'CWMS Data'!$K15)</f>
        <v>2239.9</v>
      </c>
      <c r="C13" s="13" t="str">
        <f t="array" ref="C13">IF(AND(B13=MAX(B$7:B$37), C$7:C12&lt;&gt;"+"), "+", IF(AND(B13=MIN(B$7:B$37), C$7:C12&lt;&gt;"-"), "-", ""))</f>
        <v/>
      </c>
      <c r="D13" s="32">
        <f>IF(ISBLANK('CWMS Data'!$D15), "", 'CWMS Data'!$D15)</f>
        <v>0.4</v>
      </c>
      <c r="E13" s="128">
        <f>IF(ISBLANK('CWMS Data'!$C15), "", 'CWMS Data'!$C15)</f>
        <v>2400</v>
      </c>
      <c r="F13" s="13" t="str">
        <f t="array" ref="F13">IF(AND(E13=MAX(E$7:E$37), F$7:F12&lt;&gt;"+"), "+", IF(AND(E13=MIN(E$7:E$37), F$7:F12&lt;&gt;"-"), "-", ""))</f>
        <v/>
      </c>
      <c r="G13" s="34">
        <f>IF(ISBLANK('CWMS Data'!$E15), "", 'CWMS Data'!$E15)</f>
        <v>8700.0000000000018</v>
      </c>
      <c r="H13" s="14" t="str">
        <f t="array" ref="H13">IF(AND(G13=MAX(G$7:G$37), H$7:H12&lt;&gt;"+"), "+", IF(AND(G13=MIN(G$7:G$37), H$7:H12&lt;&gt;"-"), "-", ""))</f>
        <v/>
      </c>
      <c r="I13" s="33">
        <f>IF(ISBLANK('CWMS Data'!$F15), "", 'CWMS Data'!$F15)</f>
        <v>0</v>
      </c>
      <c r="J13" s="14" t="str">
        <f t="array" ref="J13">IF(AND(I13=MAX(I$7:I$37), J$7:J12&lt;&gt;"+"), "+", IF(AND(I13=MIN(I$7:I$37), J$7:J12&lt;&gt;"-"), "-", ""))</f>
        <v/>
      </c>
      <c r="K13" s="119">
        <f t="shared" si="0"/>
        <v>8700.0000000000018</v>
      </c>
      <c r="L13" s="13" t="str">
        <f t="array" ref="L13">IF(AND(K13=MAX(K$7:K$37), L$7:L12&lt;&gt;"+"), "+", IF(AND(K13=MIN(K$7:K$37), L$7:L12&lt;&gt;"-"), "-", ""))</f>
        <v/>
      </c>
      <c r="M13" s="34">
        <f>IF(ISBLANK('CWMS Data'!$H15), "", 'CWMS Data'!$H15)</f>
        <v>8000.0000000000009</v>
      </c>
      <c r="N13" s="13" t="str">
        <f t="array" ref="N13">IF(AND(M13=MAX(M$7:M$37), N$7:N12&lt;&gt;"+"), "+", IF(AND(M13=MIN(M$7:M$37), N$7:N12&lt;&gt;"-"), "-", ""))</f>
        <v/>
      </c>
      <c r="O13" s="35"/>
      <c r="P13" s="35"/>
      <c r="Q13" s="35"/>
    </row>
    <row r="14" spans="1:32" ht="15" x14ac:dyDescent="0.25">
      <c r="A14" s="30">
        <f>IF(ISBLANK('CWMS Data'!$B16), "", 'CWMS Data'!$B16)</f>
        <v>44051</v>
      </c>
      <c r="B14" s="31">
        <f>IF(ISBLANK('CWMS Data'!$K16), "", 'CWMS Data'!$K16)</f>
        <v>2239.8699999999994</v>
      </c>
      <c r="C14" s="13" t="str">
        <f t="array" ref="C14">IF(AND(B14=MAX(B$7:B$37), C$7:C13&lt;&gt;"+"), "+", IF(AND(B14=MIN(B$7:B$37), C$7:C13&lt;&gt;"-"), "-", ""))</f>
        <v/>
      </c>
      <c r="D14" s="32">
        <f>IF(ISBLANK('CWMS Data'!$D16), "", 'CWMS Data'!$D16)</f>
        <v>0.4</v>
      </c>
      <c r="E14" s="128">
        <f>IF(ISBLANK('CWMS Data'!$C16), "", 'CWMS Data'!$C16)</f>
        <v>2400</v>
      </c>
      <c r="F14" s="13" t="str">
        <f t="array" ref="F14">IF(AND(E14=MAX(E$7:E$37), F$7:F13&lt;&gt;"+"), "+", IF(AND(E14=MIN(E$7:E$37), F$7:F13&lt;&gt;"-"), "-", ""))</f>
        <v/>
      </c>
      <c r="G14" s="34">
        <f>IF(ISBLANK('CWMS Data'!$E16), "", 'CWMS Data'!$E16)</f>
        <v>8800.0000000000018</v>
      </c>
      <c r="H14" s="14" t="str">
        <f t="array" ref="H14">IF(AND(G14=MAX(G$7:G$37), H$7:H13&lt;&gt;"+"), "+", IF(AND(G14=MIN(G$7:G$37), H$7:H13&lt;&gt;"-"), "-", ""))</f>
        <v/>
      </c>
      <c r="I14" s="33">
        <f>IF(ISBLANK('CWMS Data'!$F16), "", 'CWMS Data'!$F16)</f>
        <v>0</v>
      </c>
      <c r="J14" s="14" t="str">
        <f t="array" ref="J14">IF(AND(I14=MAX(I$7:I$37), J$7:J13&lt;&gt;"+"), "+", IF(AND(I14=MIN(I$7:I$37), J$7:J13&lt;&gt;"-"), "-", ""))</f>
        <v/>
      </c>
      <c r="K14" s="119">
        <f t="shared" si="0"/>
        <v>8800.0000000000018</v>
      </c>
      <c r="L14" s="13" t="str">
        <f t="array" ref="L14">IF(AND(K14=MAX(K$7:K$37), L$7:L13&lt;&gt;"+"), "+", IF(AND(K14=MIN(K$7:K$37), L$7:L13&lt;&gt;"-"), "-", ""))</f>
        <v/>
      </c>
      <c r="M14" s="34">
        <f>IF(ISBLANK('CWMS Data'!$H16), "", 'CWMS Data'!$H16)</f>
        <v>7000.0000000000009</v>
      </c>
      <c r="N14" s="13" t="str">
        <f t="array" ref="N14">IF(AND(M14=MAX(M$7:M$37), N$7:N13&lt;&gt;"+"), "+", IF(AND(M14=MIN(M$7:M$37), N$7:N13&lt;&gt;"-"), "-", ""))</f>
        <v/>
      </c>
      <c r="O14" s="35"/>
      <c r="P14" s="35"/>
      <c r="Q14" s="35"/>
    </row>
    <row r="15" spans="1:32" ht="15" x14ac:dyDescent="0.25">
      <c r="A15" s="30">
        <f>IF(ISBLANK('CWMS Data'!$B17), "", 'CWMS Data'!$B17)</f>
        <v>44052</v>
      </c>
      <c r="B15" s="31">
        <f>IF(ISBLANK('CWMS Data'!$K17), "", 'CWMS Data'!$K17)</f>
        <v>2239.83</v>
      </c>
      <c r="C15" s="13" t="str">
        <f t="array" ref="C15">IF(AND(B15=MAX(B$7:B$37), C$7:C14&lt;&gt;"+"), "+", IF(AND(B15=MIN(B$7:B$37), C$7:C14&lt;&gt;"-"), "-", ""))</f>
        <v/>
      </c>
      <c r="D15" s="32">
        <f>IF(ISBLANK('CWMS Data'!$D17), "", 'CWMS Data'!$D17)</f>
        <v>0.4</v>
      </c>
      <c r="E15" s="128">
        <f>IF(ISBLANK('CWMS Data'!$C17), "", 'CWMS Data'!$C17)</f>
        <v>2400</v>
      </c>
      <c r="F15" s="13" t="str">
        <f t="array" ref="F15">IF(AND(E15=MAX(E$7:E$37), F$7:F14&lt;&gt;"+"), "+", IF(AND(E15=MIN(E$7:E$37), F$7:F14&lt;&gt;"-"), "-", ""))</f>
        <v/>
      </c>
      <c r="G15" s="34">
        <f>IF(ISBLANK('CWMS Data'!$E17), "", 'CWMS Data'!$E17)</f>
        <v>8700.0000000000018</v>
      </c>
      <c r="H15" s="14" t="str">
        <f t="array" ref="H15">IF(AND(G15=MAX(G$7:G$37), H$7:H14&lt;&gt;"+"), "+", IF(AND(G15=MIN(G$7:G$37), H$7:H14&lt;&gt;"-"), "-", ""))</f>
        <v/>
      </c>
      <c r="I15" s="33">
        <f>IF(ISBLANK('CWMS Data'!$F17), "", 'CWMS Data'!$F17)</f>
        <v>0</v>
      </c>
      <c r="J15" s="14" t="str">
        <f t="array" ref="J15">IF(AND(I15=MAX(I$7:I$37), J$7:J14&lt;&gt;"+"), "+", IF(AND(I15=MIN(I$7:I$37), J$7:J14&lt;&gt;"-"), "-", ""))</f>
        <v/>
      </c>
      <c r="K15" s="119">
        <f t="shared" si="0"/>
        <v>8700.0000000000018</v>
      </c>
      <c r="L15" s="13" t="str">
        <f t="array" ref="L15">IF(AND(K15=MAX(K$7:K$37), L$7:L14&lt;&gt;"+"), "+", IF(AND(K15=MIN(K$7:K$37), L$7:L14&lt;&gt;"-"), "-", ""))</f>
        <v/>
      </c>
      <c r="M15" s="34">
        <f>IF(ISBLANK('CWMS Data'!$H17), "", 'CWMS Data'!$H17)</f>
        <v>7000.0000000000009</v>
      </c>
      <c r="N15" s="13" t="str">
        <f t="array" ref="N15">IF(AND(M15=MAX(M$7:M$37), N$7:N14&lt;&gt;"+"), "+", IF(AND(M15=MIN(M$7:M$37), N$7:N14&lt;&gt;"-"), "-", ""))</f>
        <v/>
      </c>
      <c r="O15" s="35"/>
      <c r="P15" s="35"/>
      <c r="Q15" s="35"/>
    </row>
    <row r="16" spans="1:32" ht="15" x14ac:dyDescent="0.25">
      <c r="A16" s="36">
        <f>IF(ISBLANK('CWMS Data'!$B18), "", 'CWMS Data'!$B18)</f>
        <v>44053</v>
      </c>
      <c r="B16" s="31">
        <f>IF(ISBLANK('CWMS Data'!$K18), "", 'CWMS Data'!$K18)</f>
        <v>2239.7600000000002</v>
      </c>
      <c r="C16" s="13" t="str">
        <f t="array" ref="C16">IF(AND(B16=MAX(B$7:B$37), C$7:C15&lt;&gt;"+"), "+", IF(AND(B16=MIN(B$7:B$37), C$7:C15&lt;&gt;"-"), "-", ""))</f>
        <v/>
      </c>
      <c r="D16" s="32">
        <f>IF(ISBLANK('CWMS Data'!$D18), "", 'CWMS Data'!$D18)</f>
        <v>0.2</v>
      </c>
      <c r="E16" s="120">
        <v>1500</v>
      </c>
      <c r="F16" s="13" t="str">
        <f t="array" ref="F16">IF(AND(E16=MAX(E$7:E$37), F$7:F15&lt;&gt;"+"), "+", IF(AND(E16=MIN(E$7:E$37), F$7:F15&lt;&gt;"-"), "-", ""))</f>
        <v>-</v>
      </c>
      <c r="G16" s="34">
        <f>IF(ISBLANK('CWMS Data'!$E18), "", 'CWMS Data'!$E18)</f>
        <v>8700.0000000000018</v>
      </c>
      <c r="H16" s="14" t="str">
        <f t="array" ref="H16">IF(AND(G16=MAX(G$7:G$37), H$7:H15&lt;&gt;"+"), "+", IF(AND(G16=MIN(G$7:G$37), H$7:H15&lt;&gt;"-"), "-", ""))</f>
        <v/>
      </c>
      <c r="I16" s="33">
        <f>IF(ISBLANK('CWMS Data'!$F18), "", 'CWMS Data'!$F18)</f>
        <v>0</v>
      </c>
      <c r="J16" s="14" t="str">
        <f t="array" ref="J16">IF(AND(I16=MAX(I$7:I$37), J$7:J15&lt;&gt;"+"), "+", IF(AND(I16=MIN(I$7:I$37), J$7:J15&lt;&gt;"-"), "-", ""))</f>
        <v/>
      </c>
      <c r="K16" s="119">
        <f t="shared" si="0"/>
        <v>8700.0000000000018</v>
      </c>
      <c r="L16" s="13" t="str">
        <f t="array" ref="L16">IF(AND(K16=MAX(K$7:K$37), L$7:L15&lt;&gt;"+"), "+", IF(AND(K16=MIN(K$7:K$37), L$7:L15&lt;&gt;"-"), "-", ""))</f>
        <v/>
      </c>
      <c r="M16" s="34">
        <f>IF(ISBLANK('CWMS Data'!$H18), "", 'CWMS Data'!$H18)</f>
        <v>7000.0000000000009</v>
      </c>
      <c r="N16" s="13" t="str">
        <f t="array" ref="N16">IF(AND(M16=MAX(M$7:M$37), N$7:N15&lt;&gt;"+"), "+", IF(AND(M16=MIN(M$7:M$37), N$7:N15&lt;&gt;"-"), "-", ""))</f>
        <v/>
      </c>
      <c r="O16" s="35"/>
      <c r="P16" s="35"/>
      <c r="Q16" s="35"/>
    </row>
    <row r="17" spans="1:17" ht="15" x14ac:dyDescent="0.25">
      <c r="A17" s="30">
        <f>IF(ISBLANK('CWMS Data'!$B19), "", 'CWMS Data'!$B19)</f>
        <v>44054</v>
      </c>
      <c r="B17" s="31">
        <f>IF(ISBLANK('CWMS Data'!$K19), "", 'CWMS Data'!$K19)</f>
        <v>2239.7399999999998</v>
      </c>
      <c r="C17" s="13" t="str">
        <f t="array" ref="C17">IF(AND(B17=MAX(B$7:B$37), C$7:C16&lt;&gt;"+"), "+", IF(AND(B17=MIN(B$7:B$37), C$7:C16&lt;&gt;"-"), "-", ""))</f>
        <v/>
      </c>
      <c r="D17" s="32">
        <f>IF(ISBLANK('CWMS Data'!$D19), "", 'CWMS Data'!$D19)</f>
        <v>0.3</v>
      </c>
      <c r="E17" s="120">
        <f>IF(ISBLANK('CWMS Data'!$C19), "", 'CWMS Data'!$C19)</f>
        <v>1800.0000000000002</v>
      </c>
      <c r="F17" s="13" t="str">
        <f t="array" ref="F17">IF(AND(E17=MAX(E$7:E$37), F$7:F16&lt;&gt;"+"), "+", IF(AND(E17=MIN(E$7:E$37), F$7:F16&lt;&gt;"-"), "-", ""))</f>
        <v/>
      </c>
      <c r="G17" s="34">
        <f>IF(ISBLANK('CWMS Data'!$E19), "", 'CWMS Data'!$E19)</f>
        <v>8800.0000000000018</v>
      </c>
      <c r="H17" s="14" t="str">
        <f t="array" ref="H17">IF(AND(G17=MAX(G$7:G$37), H$7:H16&lt;&gt;"+"), "+", IF(AND(G17=MIN(G$7:G$37), H$7:H16&lt;&gt;"-"), "-", ""))</f>
        <v/>
      </c>
      <c r="I17" s="33">
        <f>IF(ISBLANK('CWMS Data'!$F19), "", 'CWMS Data'!$F19)</f>
        <v>0</v>
      </c>
      <c r="J17" s="14" t="str">
        <f t="array" ref="J17">IF(AND(I17=MAX(I$7:I$37), J$7:J16&lt;&gt;"+"), "+", IF(AND(I17=MIN(I$7:I$37), J$7:J16&lt;&gt;"-"), "-", ""))</f>
        <v/>
      </c>
      <c r="K17" s="119">
        <f t="shared" si="0"/>
        <v>8800.0000000000018</v>
      </c>
      <c r="L17" s="13" t="str">
        <f t="array" ref="L17">IF(AND(K17=MAX(K$7:K$37), L$7:L16&lt;&gt;"+"), "+", IF(AND(K17=MIN(K$7:K$37), L$7:L16&lt;&gt;"-"), "-", ""))</f>
        <v/>
      </c>
      <c r="M17" s="34">
        <f>IF(ISBLANK('CWMS Data'!$H19), "", 'CWMS Data'!$H19)</f>
        <v>7000.0000000000009</v>
      </c>
      <c r="N17" s="13" t="str">
        <f t="array" ref="N17">IF(AND(M17=MAX(M$7:M$37), N$7:N16&lt;&gt;"+"), "+", IF(AND(M17=MIN(M$7:M$37), N$7:N16&lt;&gt;"-"), "-", ""))</f>
        <v/>
      </c>
      <c r="O17" s="35"/>
      <c r="P17" s="35"/>
      <c r="Q17" s="35"/>
    </row>
    <row r="18" spans="1:17" ht="15" x14ac:dyDescent="0.25">
      <c r="A18" s="30">
        <f>IF(ISBLANK('CWMS Data'!$B20), "", 'CWMS Data'!$B20)</f>
        <v>44055</v>
      </c>
      <c r="B18" s="31">
        <f>IF(ISBLANK('CWMS Data'!$K20), "", 'CWMS Data'!$K20)</f>
        <v>2239.71</v>
      </c>
      <c r="C18" s="13" t="str">
        <f t="array" ref="C18">IF(AND(B18=MAX(B$7:B$37), C$7:C17&lt;&gt;"+"), "+", IF(AND(B18=MIN(B$7:B$37), C$7:C17&lt;&gt;"-"), "-", ""))</f>
        <v/>
      </c>
      <c r="D18" s="32">
        <f>IF(ISBLANK('CWMS Data'!$D20), "", 'CWMS Data'!$D20)</f>
        <v>0.4</v>
      </c>
      <c r="E18" s="120">
        <f>IF(ISBLANK('CWMS Data'!$C20), "", 'CWMS Data'!$C20)</f>
        <v>3000</v>
      </c>
      <c r="F18" s="13" t="str">
        <f t="array" ref="F18">IF(AND(E18=MAX(E$7:E$37), F$7:F17&lt;&gt;"+"), "+", IF(AND(E18=MIN(E$7:E$37), F$7:F17&lt;&gt;"-"), "-", ""))</f>
        <v>+</v>
      </c>
      <c r="G18" s="34">
        <f>IF(ISBLANK('CWMS Data'!$E20), "", 'CWMS Data'!$E20)</f>
        <v>8700.0000000000018</v>
      </c>
      <c r="H18" s="14" t="str">
        <f t="array" ref="H18">IF(AND(G18=MAX(G$7:G$37), H$7:H17&lt;&gt;"+"), "+", IF(AND(G18=MIN(G$7:G$37), H$7:H17&lt;&gt;"-"), "-", ""))</f>
        <v/>
      </c>
      <c r="I18" s="33">
        <f>IF(ISBLANK('CWMS Data'!$F20), "", 'CWMS Data'!$F20)</f>
        <v>0</v>
      </c>
      <c r="J18" s="14" t="str">
        <f t="array" ref="J18">IF(AND(I18=MAX(I$7:I$37), J$7:J17&lt;&gt;"+"), "+", IF(AND(I18=MIN(I$7:I$37), J$7:J17&lt;&gt;"-"), "-", ""))</f>
        <v/>
      </c>
      <c r="K18" s="119">
        <f t="shared" si="0"/>
        <v>8700.0000000000018</v>
      </c>
      <c r="L18" s="13" t="str">
        <f t="array" ref="L18">IF(AND(K18=MAX(K$7:K$37), L$7:L17&lt;&gt;"+"), "+", IF(AND(K18=MIN(K$7:K$37), L$7:L17&lt;&gt;"-"), "-", ""))</f>
        <v/>
      </c>
      <c r="M18" s="34">
        <f>IF(ISBLANK('CWMS Data'!$H20), "", 'CWMS Data'!$H20)</f>
        <v>7000.0000000000009</v>
      </c>
      <c r="N18" s="13" t="str">
        <f t="array" ref="N18">IF(AND(M18=MAX(M$7:M$37), N$7:N17&lt;&gt;"+"), "+", IF(AND(M18=MIN(M$7:M$37), N$7:N17&lt;&gt;"-"), "-", ""))</f>
        <v/>
      </c>
      <c r="O18" s="35"/>
      <c r="P18" s="35"/>
      <c r="Q18" s="35"/>
    </row>
    <row r="19" spans="1:17" ht="15" x14ac:dyDescent="0.25">
      <c r="A19" s="30">
        <f>IF(ISBLANK('CWMS Data'!$B21), "", 'CWMS Data'!$B21)</f>
        <v>44056</v>
      </c>
      <c r="B19" s="31">
        <f>IF(ISBLANK('CWMS Data'!$K21), "", 'CWMS Data'!$K21)</f>
        <v>2239.66</v>
      </c>
      <c r="C19" s="13" t="str">
        <f t="array" ref="C19">IF(AND(B19=MAX(B$7:B$37), C$7:C18&lt;&gt;"+"), "+", IF(AND(B19=MIN(B$7:B$37), C$7:C18&lt;&gt;"-"), "-", ""))</f>
        <v/>
      </c>
      <c r="D19" s="32">
        <f>IF(ISBLANK('CWMS Data'!$D21), "", 'CWMS Data'!$D21)</f>
        <v>0.4</v>
      </c>
      <c r="E19" s="120">
        <f>IF(ISBLANK('CWMS Data'!$C21), "", 'CWMS Data'!$C21)</f>
        <v>3000</v>
      </c>
      <c r="F19" s="13" t="str">
        <f t="array" ref="F19">IF(AND(E19=MAX(E$7:E$37), F$7:F18&lt;&gt;"+"), "+", IF(AND(E19=MIN(E$7:E$37), F$7:F18&lt;&gt;"-"), "-", ""))</f>
        <v/>
      </c>
      <c r="G19" s="34">
        <f>IF(ISBLANK('CWMS Data'!$E21), "", 'CWMS Data'!$E21)</f>
        <v>9500</v>
      </c>
      <c r="H19" s="14" t="str">
        <f t="array" ref="H19">IF(AND(G19=MAX(G$7:G$37), H$7:H18&lt;&gt;"+"), "+", IF(AND(G19=MIN(G$7:G$37), H$7:H18&lt;&gt;"-"), "-", ""))</f>
        <v/>
      </c>
      <c r="I19" s="33">
        <f>IF(ISBLANK('CWMS Data'!$F21), "", 'CWMS Data'!$F21)</f>
        <v>0</v>
      </c>
      <c r="J19" s="14" t="str">
        <f t="array" ref="J19">IF(AND(I19=MAX(I$7:I$37), J$7:J18&lt;&gt;"+"), "+", IF(AND(I19=MIN(I$7:I$37), J$7:J18&lt;&gt;"-"), "-", ""))</f>
        <v/>
      </c>
      <c r="K19" s="119">
        <f t="shared" si="0"/>
        <v>9500</v>
      </c>
      <c r="L19" s="13" t="str">
        <f t="array" ref="L19">IF(AND(K19=MAX(K$7:K$37), L$7:L18&lt;&gt;"+"), "+", IF(AND(K19=MIN(K$7:K$37), L$7:L18&lt;&gt;"-"), "-", ""))</f>
        <v/>
      </c>
      <c r="M19" s="34">
        <f>IF(ISBLANK('CWMS Data'!$H21), "", 'CWMS Data'!$H21)</f>
        <v>7000.0000000000009</v>
      </c>
      <c r="N19" s="13" t="str">
        <f t="array" ref="N19">IF(AND(M19=MAX(M$7:M$37), N$7:N18&lt;&gt;"+"), "+", IF(AND(M19=MIN(M$7:M$37), N$7:N18&lt;&gt;"-"), "-", ""))</f>
        <v/>
      </c>
      <c r="O19" s="35"/>
      <c r="P19" s="35"/>
      <c r="Q19" s="35"/>
    </row>
    <row r="20" spans="1:17" ht="15" x14ac:dyDescent="0.25">
      <c r="A20" s="30">
        <f>IF(ISBLANK('CWMS Data'!$B22), "", 'CWMS Data'!$B22)</f>
        <v>44057</v>
      </c>
      <c r="B20" s="31">
        <f>IF(ISBLANK('CWMS Data'!$K22), "", 'CWMS Data'!$K22)</f>
        <v>2239.58</v>
      </c>
      <c r="C20" s="13" t="str">
        <f t="array" ref="C20">IF(AND(B20=MAX(B$7:B$37), C$7:C19&lt;&gt;"+"), "+", IF(AND(B20=MIN(B$7:B$37), C$7:C19&lt;&gt;"-"), "-", ""))</f>
        <v/>
      </c>
      <c r="D20" s="32">
        <f>IF(ISBLANK('CWMS Data'!$D22), "", 'CWMS Data'!$D22)</f>
        <v>0.4</v>
      </c>
      <c r="E20" s="120">
        <f>IF(ISBLANK('CWMS Data'!$C22), "", 'CWMS Data'!$C22)</f>
        <v>3000</v>
      </c>
      <c r="F20" s="13" t="str">
        <f t="array" ref="F20">IF(AND(E20=MAX(E$7:E$37), F$7:F19&lt;&gt;"+"), "+", IF(AND(E20=MIN(E$7:E$37), F$7:F19&lt;&gt;"-"), "-", ""))</f>
        <v/>
      </c>
      <c r="G20" s="34">
        <f>IF(ISBLANK('CWMS Data'!$E22), "", 'CWMS Data'!$E22)</f>
        <v>10900.000000000002</v>
      </c>
      <c r="H20" s="14" t="str">
        <f t="array" ref="H20">IF(AND(G20=MAX(G$7:G$37), H$7:H19&lt;&gt;"+"), "+", IF(AND(G20=MIN(G$7:G$37), H$7:H19&lt;&gt;"-"), "-", ""))</f>
        <v/>
      </c>
      <c r="I20" s="33">
        <f>IF(ISBLANK('CWMS Data'!$F22), "", 'CWMS Data'!$F22)</f>
        <v>0</v>
      </c>
      <c r="J20" s="14" t="str">
        <f t="array" ref="J20">IF(AND(I20=MAX(I$7:I$37), J$7:J19&lt;&gt;"+"), "+", IF(AND(I20=MIN(I$7:I$37), J$7:J19&lt;&gt;"-"), "-", ""))</f>
        <v/>
      </c>
      <c r="K20" s="119">
        <f t="shared" si="0"/>
        <v>10900.000000000002</v>
      </c>
      <c r="L20" s="13" t="str">
        <f t="array" ref="L20">IF(AND(K20=MAX(K$7:K$37), L$7:L19&lt;&gt;"+"), "+", IF(AND(K20=MIN(K$7:K$37), L$7:L19&lt;&gt;"-"), "-", ""))</f>
        <v/>
      </c>
      <c r="M20" s="34">
        <f>IF(ISBLANK('CWMS Data'!$H22), "", 'CWMS Data'!$H22)</f>
        <v>6000</v>
      </c>
      <c r="N20" s="13" t="str">
        <f t="array" ref="N20">IF(AND(M20=MAX(M$7:M$37), N$7:N19&lt;&gt;"+"), "+", IF(AND(M20=MIN(M$7:M$37), N$7:N19&lt;&gt;"-"), "-", ""))</f>
        <v>-</v>
      </c>
      <c r="O20" s="35"/>
      <c r="P20" s="35"/>
      <c r="Q20" s="35"/>
    </row>
    <row r="21" spans="1:17" ht="15" x14ac:dyDescent="0.25">
      <c r="A21" s="36">
        <f>IF(ISBLANK('CWMS Data'!$B23), "", 'CWMS Data'!$B23)</f>
        <v>44058</v>
      </c>
      <c r="B21" s="31">
        <f>IF(ISBLANK('CWMS Data'!$K23), "", 'CWMS Data'!$K23)</f>
        <v>2239.5099999999998</v>
      </c>
      <c r="C21" s="13" t="str">
        <f t="array" ref="C21">IF(AND(B21=MAX(B$7:B$37), C$7:C20&lt;&gt;"+"), "+", IF(AND(B21=MIN(B$7:B$37), C$7:C20&lt;&gt;"-"), "-", ""))</f>
        <v/>
      </c>
      <c r="D21" s="32">
        <f>IF(ISBLANK('CWMS Data'!$D23), "", 'CWMS Data'!$D23)</f>
        <v>0.4</v>
      </c>
      <c r="E21" s="120">
        <f>IF(ISBLANK('CWMS Data'!$C23), "", 'CWMS Data'!$C23)</f>
        <v>3000</v>
      </c>
      <c r="F21" s="13" t="str">
        <f t="array" ref="F21">IF(AND(E21=MAX(E$7:E$37), F$7:F20&lt;&gt;"+"), "+", IF(AND(E21=MIN(E$7:E$37), F$7:F20&lt;&gt;"-"), "-", ""))</f>
        <v/>
      </c>
      <c r="G21" s="34">
        <f>IF(ISBLANK('CWMS Data'!$E23), "", 'CWMS Data'!$E23)</f>
        <v>11300</v>
      </c>
      <c r="H21" s="14" t="str">
        <f t="array" ref="H21">IF(AND(G21=MAX(G$7:G$37), H$7:H20&lt;&gt;"+"), "+", IF(AND(G21=MIN(G$7:G$37), H$7:H20&lt;&gt;"-"), "-", ""))</f>
        <v/>
      </c>
      <c r="I21" s="33">
        <f>IF(ISBLANK('CWMS Data'!$F23), "", 'CWMS Data'!$F23)</f>
        <v>0</v>
      </c>
      <c r="J21" s="14" t="str">
        <f t="array" ref="J21">IF(AND(I21=MAX(I$7:I$37), J$7:J20&lt;&gt;"+"), "+", IF(AND(I21=MIN(I$7:I$37), J$7:J20&lt;&gt;"-"), "-", ""))</f>
        <v/>
      </c>
      <c r="K21" s="119">
        <f t="shared" si="0"/>
        <v>11300</v>
      </c>
      <c r="L21" s="13" t="str">
        <f t="array" ref="L21">IF(AND(K21=MAX(K$7:K$37), L$7:L20&lt;&gt;"+"), "+", IF(AND(K21=MIN(K$7:K$37), L$7:L20&lt;&gt;"-"), "-", ""))</f>
        <v/>
      </c>
      <c r="M21" s="34">
        <f>IF(ISBLANK('CWMS Data'!$H23), "", 'CWMS Data'!$H23)</f>
        <v>6000</v>
      </c>
      <c r="N21" s="13" t="str">
        <f t="array" ref="N21">IF(AND(M21=MAX(M$7:M$37), N$7:N20&lt;&gt;"+"), "+", IF(AND(M21=MIN(M$7:M$37), N$7:N20&lt;&gt;"-"), "-", ""))</f>
        <v/>
      </c>
      <c r="O21" s="35"/>
      <c r="P21" s="35"/>
      <c r="Q21" s="35"/>
    </row>
    <row r="22" spans="1:17" ht="15" x14ac:dyDescent="0.25">
      <c r="A22" s="30">
        <f>IF(ISBLANK('CWMS Data'!$B24), "", 'CWMS Data'!$B24)</f>
        <v>44059</v>
      </c>
      <c r="B22" s="31">
        <f>IF(ISBLANK('CWMS Data'!$K24), "", 'CWMS Data'!$K24)</f>
        <v>2239.46</v>
      </c>
      <c r="C22" s="13" t="str">
        <f t="array" ref="C22">IF(AND(B22=MAX(B$7:B$37), C$7:C21&lt;&gt;"+"), "+", IF(AND(B22=MIN(B$7:B$37), C$7:C21&lt;&gt;"-"), "-", ""))</f>
        <v/>
      </c>
      <c r="D22" s="32">
        <f>IF(ISBLANK('CWMS Data'!$D24), "", 'CWMS Data'!$D24)</f>
        <v>0.3</v>
      </c>
      <c r="E22" s="120">
        <f>IF(ISBLANK('CWMS Data'!$C24), "", 'CWMS Data'!$C24)</f>
        <v>1800.0000000000002</v>
      </c>
      <c r="F22" s="13" t="str">
        <f t="array" ref="F22">IF(AND(E22=MAX(E$7:E$37), F$7:F21&lt;&gt;"+"), "+", IF(AND(E22=MIN(E$7:E$37), F$7:F21&lt;&gt;"-"), "-", ""))</f>
        <v/>
      </c>
      <c r="G22" s="34">
        <f>IF(ISBLANK('CWMS Data'!$E24), "", 'CWMS Data'!$E24)</f>
        <v>10800.000000000002</v>
      </c>
      <c r="H22" s="14" t="str">
        <f t="array" ref="H22">IF(AND(G22=MAX(G$7:G$37), H$7:H21&lt;&gt;"+"), "+", IF(AND(G22=MIN(G$7:G$37), H$7:H21&lt;&gt;"-"), "-", ""))</f>
        <v/>
      </c>
      <c r="I22" s="33">
        <f>IF(ISBLANK('CWMS Data'!$F24), "", 'CWMS Data'!$F24)</f>
        <v>0</v>
      </c>
      <c r="J22" s="14" t="str">
        <f t="array" ref="J22">IF(AND(I22=MAX(I$7:I$37), J$7:J21&lt;&gt;"+"), "+", IF(AND(I22=MIN(I$7:I$37), J$7:J21&lt;&gt;"-"), "-", ""))</f>
        <v/>
      </c>
      <c r="K22" s="119">
        <f t="shared" si="0"/>
        <v>10800.000000000002</v>
      </c>
      <c r="L22" s="13" t="str">
        <f t="array" ref="L22">IF(AND(K22=MAX(K$7:K$37), L$7:L21&lt;&gt;"+"), "+", IF(AND(K22=MIN(K$7:K$37), L$7:L21&lt;&gt;"-"), "-", ""))</f>
        <v/>
      </c>
      <c r="M22" s="34">
        <f>IF(ISBLANK('CWMS Data'!$H24), "", 'CWMS Data'!$H24)</f>
        <v>6000</v>
      </c>
      <c r="N22" s="13" t="str">
        <f t="array" ref="N22">IF(AND(M22=MAX(M$7:M$37), N$7:N21&lt;&gt;"+"), "+", IF(AND(M22=MIN(M$7:M$37), N$7:N21&lt;&gt;"-"), "-", ""))</f>
        <v/>
      </c>
      <c r="O22" s="35"/>
      <c r="P22" s="35"/>
      <c r="Q22" s="35"/>
    </row>
    <row r="23" spans="1:17" ht="15" x14ac:dyDescent="0.25">
      <c r="A23" s="30">
        <f>IF(ISBLANK('CWMS Data'!$B25), "", 'CWMS Data'!$B25)</f>
        <v>44060</v>
      </c>
      <c r="B23" s="31">
        <f>IF(ISBLANK('CWMS Data'!$K25), "", 'CWMS Data'!$K25)</f>
        <v>2239.42</v>
      </c>
      <c r="C23" s="13" t="str">
        <f t="array" ref="C23">IF(AND(B23=MAX(B$7:B$37), C$7:C22&lt;&gt;"+"), "+", IF(AND(B23=MIN(B$7:B$37), C$7:C22&lt;&gt;"-"), "-", ""))</f>
        <v/>
      </c>
      <c r="D23" s="32">
        <f>IF(ISBLANK('CWMS Data'!$D25), "", 'CWMS Data'!$D25)</f>
        <v>0.3</v>
      </c>
      <c r="E23" s="120">
        <f>IF(ISBLANK('CWMS Data'!$C25), "", 'CWMS Data'!$C25)</f>
        <v>1800.0000000000002</v>
      </c>
      <c r="F23" s="13" t="str">
        <f t="array" ref="F23">IF(AND(E23=MAX(E$7:E$37), F$7:F22&lt;&gt;"+"), "+", IF(AND(E23=MIN(E$7:E$37), F$7:F22&lt;&gt;"-"), "-", ""))</f>
        <v/>
      </c>
      <c r="G23" s="34">
        <f>IF(ISBLANK('CWMS Data'!$E25), "", 'CWMS Data'!$E25)</f>
        <v>11300</v>
      </c>
      <c r="H23" s="14" t="str">
        <f t="array" ref="H23">IF(AND(G23=MAX(G$7:G$37), H$7:H22&lt;&gt;"+"), "+", IF(AND(G23=MIN(G$7:G$37), H$7:H22&lt;&gt;"-"), "-", ""))</f>
        <v/>
      </c>
      <c r="I23" s="33">
        <f>IF(ISBLANK('CWMS Data'!$F25), "", 'CWMS Data'!$F25)</f>
        <v>0</v>
      </c>
      <c r="J23" s="14" t="str">
        <f t="array" ref="J23">IF(AND(I23=MAX(I$7:I$37), J$7:J22&lt;&gt;"+"), "+", IF(AND(I23=MIN(I$7:I$37), J$7:J22&lt;&gt;"-"), "-", ""))</f>
        <v/>
      </c>
      <c r="K23" s="119">
        <f t="shared" si="0"/>
        <v>11300</v>
      </c>
      <c r="L23" s="13" t="str">
        <f t="array" ref="L23">IF(AND(K23=MAX(K$7:K$37), L$7:L22&lt;&gt;"+"), "+", IF(AND(K23=MIN(K$7:K$37), L$7:L22&lt;&gt;"-"), "-", ""))</f>
        <v/>
      </c>
      <c r="M23" s="34">
        <f>IF(ISBLANK('CWMS Data'!$H25), "", 'CWMS Data'!$H25)</f>
        <v>6000</v>
      </c>
      <c r="N23" s="13" t="str">
        <f t="array" ref="N23">IF(AND(M23=MAX(M$7:M$37), N$7:N22&lt;&gt;"+"), "+", IF(AND(M23=MIN(M$7:M$37), N$7:N22&lt;&gt;"-"), "-", ""))</f>
        <v/>
      </c>
      <c r="O23" s="35"/>
      <c r="P23" s="35"/>
      <c r="Q23" s="35"/>
    </row>
    <row r="24" spans="1:17" ht="15" x14ac:dyDescent="0.25">
      <c r="A24" s="30">
        <f>IF(ISBLANK('CWMS Data'!$B26), "", 'CWMS Data'!$B26)</f>
        <v>44061</v>
      </c>
      <c r="B24" s="31">
        <f>IF(ISBLANK('CWMS Data'!$K26), "", 'CWMS Data'!$K26)</f>
        <v>2239.4</v>
      </c>
      <c r="C24" s="13" t="str">
        <f t="array" ref="C24">IF(AND(B24=MAX(B$7:B$37), C$7:C23&lt;&gt;"+"), "+", IF(AND(B24=MIN(B$7:B$37), C$7:C23&lt;&gt;"-"), "-", ""))</f>
        <v/>
      </c>
      <c r="D24" s="32">
        <f>IF(ISBLANK('CWMS Data'!$D26), "", 'CWMS Data'!$D26)</f>
        <v>0.3</v>
      </c>
      <c r="E24" s="33">
        <f>IF(ISBLANK('CWMS Data'!$C26), "", 'CWMS Data'!$C26)</f>
        <v>1800.0000000000002</v>
      </c>
      <c r="F24" s="13" t="str">
        <f t="array" ref="F24">IF(AND(E24=MAX(E$7:E$37), F$7:F23&lt;&gt;"+"), "+", IF(AND(E24=MIN(E$7:E$37), F$7:F23&lt;&gt;"-"), "-", ""))</f>
        <v/>
      </c>
      <c r="G24" s="34">
        <f>IF(ISBLANK('CWMS Data'!$E26), "", 'CWMS Data'!$E26)</f>
        <v>11400</v>
      </c>
      <c r="H24" s="14" t="str">
        <f t="array" ref="H24">IF(AND(G24=MAX(G$7:G$37), H$7:H23&lt;&gt;"+"), "+", IF(AND(G24=MIN(G$7:G$37), H$7:H23&lt;&gt;"-"), "-", ""))</f>
        <v>+</v>
      </c>
      <c r="I24" s="33">
        <f>IF(ISBLANK('CWMS Data'!$F26), "", 'CWMS Data'!$F26)</f>
        <v>0</v>
      </c>
      <c r="J24" s="14" t="str">
        <f t="array" ref="J24">IF(AND(I24=MAX(I$7:I$37), J$7:J23&lt;&gt;"+"), "+", IF(AND(I24=MIN(I$7:I$37), J$7:J23&lt;&gt;"-"), "-", ""))</f>
        <v/>
      </c>
      <c r="K24" s="119">
        <f t="shared" si="0"/>
        <v>11400</v>
      </c>
      <c r="L24" s="13" t="str">
        <f t="array" ref="L24">IF(AND(K24=MAX(K$7:K$37), L$7:L23&lt;&gt;"+"), "+", IF(AND(K24=MIN(K$7:K$37), L$7:L23&lt;&gt;"-"), "-", ""))</f>
        <v>+</v>
      </c>
      <c r="M24" s="34">
        <f>IF(ISBLANK('CWMS Data'!$H26), "", 'CWMS Data'!$H26)</f>
        <v>6000</v>
      </c>
      <c r="N24" s="13" t="str">
        <f t="array" ref="N24">IF(AND(M24=MAX(M$7:M$37), N$7:N23&lt;&gt;"+"), "+", IF(AND(M24=MIN(M$7:M$37), N$7:N23&lt;&gt;"-"), "-", ""))</f>
        <v/>
      </c>
      <c r="O24" s="35"/>
      <c r="P24" s="35"/>
      <c r="Q24" s="35"/>
    </row>
    <row r="25" spans="1:17" ht="15" x14ac:dyDescent="0.25">
      <c r="A25" s="30">
        <f>IF(ISBLANK('CWMS Data'!$B27), "", 'CWMS Data'!$B27)</f>
        <v>44062</v>
      </c>
      <c r="B25" s="31">
        <f>IF(ISBLANK('CWMS Data'!$K27), "", 'CWMS Data'!$K27)</f>
        <v>2239.3200000000002</v>
      </c>
      <c r="C25" s="13" t="str">
        <f t="array" ref="C25">IF(AND(B25=MAX(B$7:B$37), C$7:C24&lt;&gt;"+"), "+", IF(AND(B25=MIN(B$7:B$37), C$7:C24&lt;&gt;"-"), "-", ""))</f>
        <v/>
      </c>
      <c r="D25" s="32">
        <f>IF(ISBLANK('CWMS Data'!$D27), "", 'CWMS Data'!$D27)</f>
        <v>0.3</v>
      </c>
      <c r="E25" s="135">
        <f>IF(ISBLANK('CWMS Data'!$C27), "", 'CWMS Data'!$C27)</f>
        <v>1800.0000000000002</v>
      </c>
      <c r="F25" s="13" t="str">
        <f t="array" ref="F25">IF(AND(E25=MAX(E$7:E$37), F$7:F24&lt;&gt;"+"), "+", IF(AND(E25=MIN(E$7:E$37), F$7:F24&lt;&gt;"-"), "-", ""))</f>
        <v/>
      </c>
      <c r="G25" s="34">
        <f>IF(ISBLANK('CWMS Data'!$E27), "", 'CWMS Data'!$E27)</f>
        <v>9800.0000000000018</v>
      </c>
      <c r="H25" s="14" t="str">
        <f t="array" ref="H25">IF(AND(G25=MAX(G$7:G$37), H$7:H24&lt;&gt;"+"), "+", IF(AND(G25=MIN(G$7:G$37), H$7:H24&lt;&gt;"-"), "-", ""))</f>
        <v/>
      </c>
      <c r="I25" s="33">
        <f>IF(ISBLANK('CWMS Data'!$F27), "", 'CWMS Data'!$F27)</f>
        <v>0</v>
      </c>
      <c r="J25" s="14" t="str">
        <f t="array" ref="J25">IF(AND(I25=MAX(I$7:I$37), J$7:J24&lt;&gt;"+"), "+", IF(AND(I25=MIN(I$7:I$37), J$7:J24&lt;&gt;"-"), "-", ""))</f>
        <v/>
      </c>
      <c r="K25" s="119">
        <f t="shared" si="0"/>
        <v>9800.0000000000018</v>
      </c>
      <c r="L25" s="13" t="str">
        <f t="array" ref="L25">IF(AND(K25=MAX(K$7:K$37), L$7:L24&lt;&gt;"+"), "+", IF(AND(K25=MIN(K$7:K$37), L$7:L24&lt;&gt;"-"), "-", ""))</f>
        <v/>
      </c>
      <c r="M25" s="34">
        <f>IF(ISBLANK('CWMS Data'!$H27), "", 'CWMS Data'!$H27)</f>
        <v>7000.0000000000009</v>
      </c>
      <c r="N25" s="13" t="str">
        <f t="array" ref="N25">IF(AND(M25=MAX(M$7:M$37), N$7:N24&lt;&gt;"+"), "+", IF(AND(M25=MIN(M$7:M$37), N$7:N24&lt;&gt;"-"), "-", ""))</f>
        <v/>
      </c>
      <c r="O25" s="35"/>
      <c r="P25" s="35"/>
      <c r="Q25" s="35"/>
    </row>
    <row r="26" spans="1:17" ht="15" x14ac:dyDescent="0.25">
      <c r="A26" s="36">
        <f>IF(ISBLANK('CWMS Data'!$B28), "", 'CWMS Data'!$B28)</f>
        <v>44063</v>
      </c>
      <c r="B26" s="31">
        <f>IF(ISBLANK('CWMS Data'!$K28), "", 'CWMS Data'!$K28)</f>
        <v>2239.3299999999995</v>
      </c>
      <c r="C26" s="13" t="str">
        <f t="array" ref="C26">IF(AND(B26=MAX(B$7:B$37), C$7:C25&lt;&gt;"+"), "+", IF(AND(B26=MIN(B$7:B$37), C$7:C25&lt;&gt;"-"), "-", ""))</f>
        <v/>
      </c>
      <c r="D26" s="32">
        <f>IF(ISBLANK('CWMS Data'!$D28), "", 'CWMS Data'!$D28)</f>
        <v>0.3</v>
      </c>
      <c r="E26" s="135">
        <f>IF(ISBLANK('CWMS Data'!$C28), "", 'CWMS Data'!$C28)</f>
        <v>1800.0000000000002</v>
      </c>
      <c r="F26" s="13" t="str">
        <f t="array" ref="F26">IF(AND(E26=MAX(E$7:E$37), F$7:F25&lt;&gt;"+"), "+", IF(AND(E26=MIN(E$7:E$37), F$7:F25&lt;&gt;"-"), "-", ""))</f>
        <v/>
      </c>
      <c r="G26" s="34">
        <f>IF(ISBLANK('CWMS Data'!$E28), "", 'CWMS Data'!$E28)</f>
        <v>10200</v>
      </c>
      <c r="H26" s="14" t="str">
        <f t="array" ref="H26">IF(AND(G26=MAX(G$7:G$37), H$7:H25&lt;&gt;"+"), "+", IF(AND(G26=MIN(G$7:G$37), H$7:H25&lt;&gt;"-"), "-", ""))</f>
        <v/>
      </c>
      <c r="I26" s="33">
        <f>IF(ISBLANK('CWMS Data'!$F28), "", 'CWMS Data'!$F28)</f>
        <v>0</v>
      </c>
      <c r="J26" s="14" t="str">
        <f t="array" ref="J26">IF(AND(I26=MAX(I$7:I$37), J$7:J25&lt;&gt;"+"), "+", IF(AND(I26=MIN(I$7:I$37), J$7:J25&lt;&gt;"-"), "-", ""))</f>
        <v/>
      </c>
      <c r="K26" s="119">
        <f t="shared" si="0"/>
        <v>10200</v>
      </c>
      <c r="L26" s="13" t="str">
        <f t="array" ref="L26">IF(AND(K26=MAX(K$7:K$37), L$7:L25&lt;&gt;"+"), "+", IF(AND(K26=MIN(K$7:K$37), L$7:L25&lt;&gt;"-"), "-", ""))</f>
        <v/>
      </c>
      <c r="M26" s="34">
        <f>IF(ISBLANK('CWMS Data'!$H28), "", 'CWMS Data'!$H28)</f>
        <v>7000.0000000000009</v>
      </c>
      <c r="N26" s="13" t="str">
        <f t="array" ref="N26">IF(AND(M26=MAX(M$7:M$37), N$7:N25&lt;&gt;"+"), "+", IF(AND(M26=MIN(M$7:M$37), N$7:N25&lt;&gt;"-"), "-", ""))</f>
        <v/>
      </c>
      <c r="O26" s="35"/>
      <c r="P26" s="35"/>
      <c r="Q26" s="35"/>
    </row>
    <row r="27" spans="1:17" ht="15" x14ac:dyDescent="0.25">
      <c r="A27" s="30">
        <f>IF(ISBLANK('CWMS Data'!$B29), "", 'CWMS Data'!$B29)</f>
        <v>44064</v>
      </c>
      <c r="B27" s="31">
        <f>IF(ISBLANK('CWMS Data'!$K29), "", 'CWMS Data'!$K29)</f>
        <v>2239.23</v>
      </c>
      <c r="C27" s="13" t="str">
        <f t="array" ref="C27">IF(AND(B27=MAX(B$7:B$37), C$7:C26&lt;&gt;"+"), "+", IF(AND(B27=MIN(B$7:B$37), C$7:C26&lt;&gt;"-"), "-", ""))</f>
        <v/>
      </c>
      <c r="D27" s="32">
        <f>IF(ISBLANK('CWMS Data'!$D29), "", 'CWMS Data'!$D29)</f>
        <v>0.3</v>
      </c>
      <c r="E27" s="135">
        <f>IF(ISBLANK('CWMS Data'!$C29), "", 'CWMS Data'!$C29)</f>
        <v>1800.0000000000002</v>
      </c>
      <c r="F27" s="13" t="str">
        <f t="array" ref="F27">IF(AND(E27=MAX(E$7:E$37), F$7:F26&lt;&gt;"+"), "+", IF(AND(E27=MIN(E$7:E$37), F$7:F26&lt;&gt;"-"), "-", ""))</f>
        <v/>
      </c>
      <c r="G27" s="34">
        <f>IF(ISBLANK('CWMS Data'!$E29), "", 'CWMS Data'!$E29)</f>
        <v>10500</v>
      </c>
      <c r="H27" s="14" t="str">
        <f t="array" ref="H27">IF(AND(G27=MAX(G$7:G$37), H$7:H26&lt;&gt;"+"), "+", IF(AND(G27=MIN(G$7:G$37), H$7:H26&lt;&gt;"-"), "-", ""))</f>
        <v/>
      </c>
      <c r="I27" s="33">
        <f>IF(ISBLANK('CWMS Data'!$F29), "", 'CWMS Data'!$F29)</f>
        <v>0</v>
      </c>
      <c r="J27" s="14" t="str">
        <f t="array" ref="J27">IF(AND(I27=MAX(I$7:I$37), J$7:J26&lt;&gt;"+"), "+", IF(AND(I27=MIN(I$7:I$37), J$7:J26&lt;&gt;"-"), "-", ""))</f>
        <v/>
      </c>
      <c r="K27" s="119">
        <f t="shared" si="0"/>
        <v>10500</v>
      </c>
      <c r="L27" s="13" t="str">
        <f t="array" ref="L27">IF(AND(K27=MAX(K$7:K$37), L$7:L26&lt;&gt;"+"), "+", IF(AND(K27=MIN(K$7:K$37), L$7:L26&lt;&gt;"-"), "-", ""))</f>
        <v/>
      </c>
      <c r="M27" s="34">
        <f>IF(ISBLANK('CWMS Data'!$H29), "", 'CWMS Data'!$H29)</f>
        <v>7000.0000000000009</v>
      </c>
      <c r="N27" s="13" t="str">
        <f t="array" ref="N27">IF(AND(M27=MAX(M$7:M$37), N$7:N26&lt;&gt;"+"), "+", IF(AND(M27=MIN(M$7:M$37), N$7:N26&lt;&gt;"-"), "-", ""))</f>
        <v/>
      </c>
      <c r="O27" s="35"/>
      <c r="P27" s="35"/>
      <c r="Q27" s="35"/>
    </row>
    <row r="28" spans="1:17" ht="15" x14ac:dyDescent="0.25">
      <c r="A28" s="30">
        <f>IF(ISBLANK('CWMS Data'!$B30), "", 'CWMS Data'!$B30)</f>
        <v>44065</v>
      </c>
      <c r="B28" s="31">
        <f>IF(ISBLANK('CWMS Data'!$K30), "", 'CWMS Data'!$K30)</f>
        <v>2239.2199999999993</v>
      </c>
      <c r="C28" s="13" t="str">
        <f t="array" ref="C28">IF(AND(B28=MAX(B$7:B$37), C$7:C27&lt;&gt;"+"), "+", IF(AND(B28=MIN(B$7:B$37), C$7:C27&lt;&gt;"-"), "-", ""))</f>
        <v/>
      </c>
      <c r="D28" s="32">
        <f>IF(ISBLANK('CWMS Data'!$D30), "", 'CWMS Data'!$D30)</f>
        <v>0.3</v>
      </c>
      <c r="E28" s="135">
        <f>IF(ISBLANK('CWMS Data'!$C30), "", 'CWMS Data'!$C30)</f>
        <v>1800.0000000000002</v>
      </c>
      <c r="F28" s="13" t="str">
        <f t="array" ref="F28">IF(AND(E28=MAX(E$7:E$37), F$7:F27&lt;&gt;"+"), "+", IF(AND(E28=MIN(E$7:E$37), F$7:F27&lt;&gt;"-"), "-", ""))</f>
        <v/>
      </c>
      <c r="G28" s="34">
        <f>IF(ISBLANK('CWMS Data'!$E30), "", 'CWMS Data'!$E30)</f>
        <v>10800.000000000002</v>
      </c>
      <c r="H28" s="14" t="str">
        <f t="array" ref="H28">IF(AND(G28=MAX(G$7:G$37), H$7:H27&lt;&gt;"+"), "+", IF(AND(G28=MIN(G$7:G$37), H$7:H27&lt;&gt;"-"), "-", ""))</f>
        <v/>
      </c>
      <c r="I28" s="33">
        <f>IF(ISBLANK('CWMS Data'!$F30), "", 'CWMS Data'!$F30)</f>
        <v>0</v>
      </c>
      <c r="J28" s="14" t="str">
        <f t="array" ref="J28">IF(AND(I28=MAX(I$7:I$37), J$7:J27&lt;&gt;"+"), "+", IF(AND(I28=MIN(I$7:I$37), J$7:J27&lt;&gt;"-"), "-", ""))</f>
        <v/>
      </c>
      <c r="K28" s="119">
        <f t="shared" si="0"/>
        <v>10800.000000000002</v>
      </c>
      <c r="L28" s="13" t="str">
        <f t="array" ref="L28">IF(AND(K28=MAX(K$7:K$37), L$7:L27&lt;&gt;"+"), "+", IF(AND(K28=MIN(K$7:K$37), L$7:L27&lt;&gt;"-"), "-", ""))</f>
        <v/>
      </c>
      <c r="M28" s="34">
        <f>IF(ISBLANK('CWMS Data'!$H30), "", 'CWMS Data'!$H30)</f>
        <v>7000.0000000000009</v>
      </c>
      <c r="N28" s="13" t="str">
        <f t="array" ref="N28">IF(AND(M28=MAX(M$7:M$37), N$7:N27&lt;&gt;"+"), "+", IF(AND(M28=MIN(M$7:M$37), N$7:N27&lt;&gt;"-"), "-", ""))</f>
        <v/>
      </c>
      <c r="O28" s="35"/>
      <c r="P28" s="35"/>
      <c r="Q28" s="35"/>
    </row>
    <row r="29" spans="1:17" ht="15" x14ac:dyDescent="0.25">
      <c r="A29" s="30">
        <f>IF(ISBLANK('CWMS Data'!$B31), "", 'CWMS Data'!$B31)</f>
        <v>44066</v>
      </c>
      <c r="B29" s="31">
        <f>IF(ISBLANK('CWMS Data'!$K31), "", 'CWMS Data'!$K31)</f>
        <v>2239.14</v>
      </c>
      <c r="C29" s="13" t="str">
        <f t="array" ref="C29">IF(AND(B29=MAX(B$7:B$37), C$7:C28&lt;&gt;"+"), "+", IF(AND(B29=MIN(B$7:B$37), C$7:C28&lt;&gt;"-"), "-", ""))</f>
        <v/>
      </c>
      <c r="D29" s="32">
        <f>IF(ISBLANK('CWMS Data'!$D31), "", 'CWMS Data'!$D31)</f>
        <v>0.3</v>
      </c>
      <c r="E29" s="135">
        <f>IF(ISBLANK('CWMS Data'!$C31), "", 'CWMS Data'!$C31)</f>
        <v>1800.0000000000002</v>
      </c>
      <c r="F29" s="13" t="str">
        <f t="array" ref="F29">IF(AND(E29=MAX(E$7:E$37), F$7:F28&lt;&gt;"+"), "+", IF(AND(E29=MIN(E$7:E$37), F$7:F28&lt;&gt;"-"), "-", ""))</f>
        <v/>
      </c>
      <c r="G29" s="34">
        <f>IF(ISBLANK('CWMS Data'!$E31), "", 'CWMS Data'!$E31)</f>
        <v>11000</v>
      </c>
      <c r="H29" s="14" t="str">
        <f t="array" ref="H29">IF(AND(G29=MAX(G$7:G$37), H$7:H28&lt;&gt;"+"), "+", IF(AND(G29=MIN(G$7:G$37), H$7:H28&lt;&gt;"-"), "-", ""))</f>
        <v/>
      </c>
      <c r="I29" s="33">
        <f>IF(ISBLANK('CWMS Data'!$F31), "", 'CWMS Data'!$F31)</f>
        <v>0</v>
      </c>
      <c r="J29" s="14" t="str">
        <f t="array" ref="J29">IF(AND(I29=MAX(I$7:I$37), J$7:J28&lt;&gt;"+"), "+", IF(AND(I29=MIN(I$7:I$37), J$7:J28&lt;&gt;"-"), "-", ""))</f>
        <v/>
      </c>
      <c r="K29" s="119">
        <f t="shared" si="0"/>
        <v>11000</v>
      </c>
      <c r="L29" s="13" t="str">
        <f t="array" ref="L29">IF(AND(K29=MAX(K$7:K$37), L$7:L28&lt;&gt;"+"), "+", IF(AND(K29=MIN(K$7:K$37), L$7:L28&lt;&gt;"-"), "-", ""))</f>
        <v/>
      </c>
      <c r="M29" s="34">
        <f>IF(ISBLANK('CWMS Data'!$H31), "", 'CWMS Data'!$H31)</f>
        <v>7000.0000000000009</v>
      </c>
      <c r="N29" s="13" t="str">
        <f t="array" ref="N29">IF(AND(M29=MAX(M$7:M$37), N$7:N28&lt;&gt;"+"), "+", IF(AND(M29=MIN(M$7:M$37), N$7:N28&lt;&gt;"-"), "-", ""))</f>
        <v/>
      </c>
      <c r="O29" s="35"/>
      <c r="P29" s="35"/>
      <c r="Q29" s="35"/>
    </row>
    <row r="30" spans="1:17" ht="15" x14ac:dyDescent="0.25">
      <c r="A30" s="30">
        <f>IF(ISBLANK('CWMS Data'!$B32), "", 'CWMS Data'!$B32)</f>
        <v>44067</v>
      </c>
      <c r="B30" s="31">
        <f>IF(ISBLANK('CWMS Data'!$K32), "", 'CWMS Data'!$K32)</f>
        <v>2239.0299999999997</v>
      </c>
      <c r="C30" s="13" t="str">
        <f t="array" ref="C30">IF(AND(B30=MAX(B$7:B$37), C$7:C29&lt;&gt;"+"), "+", IF(AND(B30=MIN(B$7:B$37), C$7:C29&lt;&gt;"-"), "-", ""))</f>
        <v/>
      </c>
      <c r="D30" s="32">
        <f>IF(ISBLANK('CWMS Data'!$D32), "", 'CWMS Data'!$D32)</f>
        <v>0.4</v>
      </c>
      <c r="E30" s="130">
        <f>IF(ISBLANK('CWMS Data'!$C32), "", 'CWMS Data'!$C32)</f>
        <v>2400</v>
      </c>
      <c r="F30" s="13" t="str">
        <f t="array" ref="F30">IF(AND(E30=MAX(E$7:E$37), F$7:F29&lt;&gt;"+"), "+", IF(AND(E30=MIN(E$7:E$37), F$7:F29&lt;&gt;"-"), "-", ""))</f>
        <v/>
      </c>
      <c r="G30" s="34">
        <f>IF(ISBLANK('CWMS Data'!$E32), "", 'CWMS Data'!$E32)</f>
        <v>10600.000000000002</v>
      </c>
      <c r="H30" s="14" t="str">
        <f t="array" ref="H30">IF(AND(G30=MAX(G$7:G$37), H$7:H29&lt;&gt;"+"), "+", IF(AND(G30=MIN(G$7:G$37), H$7:H29&lt;&gt;"-"), "-", ""))</f>
        <v/>
      </c>
      <c r="I30" s="33">
        <f>IF(ISBLANK('CWMS Data'!$F32), "", 'CWMS Data'!$F32)</f>
        <v>0</v>
      </c>
      <c r="J30" s="14" t="str">
        <f t="array" ref="J30">IF(AND(I30=MAX(I$7:I$37), J$7:J29&lt;&gt;"+"), "+", IF(AND(I30=MIN(I$7:I$37), J$7:J29&lt;&gt;"-"), "-", ""))</f>
        <v/>
      </c>
      <c r="K30" s="119">
        <f t="shared" si="0"/>
        <v>10600.000000000002</v>
      </c>
      <c r="L30" s="13" t="str">
        <f t="array" ref="L30">IF(AND(K30=MAX(K$7:K$37), L$7:L29&lt;&gt;"+"), "+", IF(AND(K30=MIN(K$7:K$37), L$7:L29&lt;&gt;"-"), "-", ""))</f>
        <v/>
      </c>
      <c r="M30" s="34">
        <f>IF(ISBLANK('CWMS Data'!$H32), "", 'CWMS Data'!$H32)</f>
        <v>7000.0000000000009</v>
      </c>
      <c r="N30" s="13" t="str">
        <f t="array" ref="N30">IF(AND(M30=MAX(M$7:M$37), N$7:N29&lt;&gt;"+"), "+", IF(AND(M30=MIN(M$7:M$37), N$7:N29&lt;&gt;"-"), "-", ""))</f>
        <v/>
      </c>
      <c r="O30" s="35"/>
      <c r="P30" s="35"/>
      <c r="Q30" s="35"/>
    </row>
    <row r="31" spans="1:17" ht="15" x14ac:dyDescent="0.25">
      <c r="A31" s="36">
        <f>IF(ISBLANK('CWMS Data'!$B33), "", 'CWMS Data'!$B33)</f>
        <v>44068</v>
      </c>
      <c r="B31" s="31">
        <f>IF(ISBLANK('CWMS Data'!$K33), "", 'CWMS Data'!$K33)</f>
        <v>2239.1599999999994</v>
      </c>
      <c r="C31" s="13" t="str">
        <f t="array" ref="C31">IF(AND(B31=MAX(B$7:B$37), C$7:C30&lt;&gt;"+"), "+", IF(AND(B31=MIN(B$7:B$37), C$7:C30&lt;&gt;"-"), "-", ""))</f>
        <v/>
      </c>
      <c r="D31" s="32">
        <f>IF(ISBLANK('CWMS Data'!$D33), "", 'CWMS Data'!$D33)</f>
        <v>0.3</v>
      </c>
      <c r="E31" s="130">
        <f>IF(ISBLANK('CWMS Data'!$C33), "", 'CWMS Data'!$C33)</f>
        <v>1800.0000000000002</v>
      </c>
      <c r="F31" s="13" t="str">
        <f t="array" ref="F31">IF(AND(E31=MAX(E$7:E$37), F$7:F30&lt;&gt;"+"), "+", IF(AND(E31=MIN(E$7:E$37), F$7:F30&lt;&gt;"-"), "-", ""))</f>
        <v/>
      </c>
      <c r="G31" s="34">
        <f>IF(ISBLANK('CWMS Data'!$E33), "", 'CWMS Data'!$E33)</f>
        <v>11100</v>
      </c>
      <c r="H31" s="14" t="str">
        <f t="array" ref="H31">IF(AND(G31=MAX(G$7:G$37), H$7:H30&lt;&gt;"+"), "+", IF(AND(G31=MIN(G$7:G$37), H$7:H30&lt;&gt;"-"), "-", ""))</f>
        <v/>
      </c>
      <c r="I31" s="33">
        <f>IF(ISBLANK('CWMS Data'!$F33), "", 'CWMS Data'!$F33)</f>
        <v>0</v>
      </c>
      <c r="J31" s="14" t="str">
        <f t="array" ref="J31">IF(AND(I31=MAX(I$7:I$37), J$7:J30&lt;&gt;"+"), "+", IF(AND(I31=MIN(I$7:I$37), J$7:J30&lt;&gt;"-"), "-", ""))</f>
        <v/>
      </c>
      <c r="K31" s="119">
        <f t="shared" si="0"/>
        <v>11100</v>
      </c>
      <c r="L31" s="13" t="str">
        <f t="array" ref="L31">IF(AND(K31=MAX(K$7:K$37), L$7:L30&lt;&gt;"+"), "+", IF(AND(K31=MIN(K$7:K$37), L$7:L30&lt;&gt;"-"), "-", ""))</f>
        <v/>
      </c>
      <c r="M31" s="34">
        <f>IF(ISBLANK('CWMS Data'!$H33), "", 'CWMS Data'!$H33)</f>
        <v>7000.0000000000009</v>
      </c>
      <c r="N31" s="13" t="str">
        <f t="array" ref="N31">IF(AND(M31=MAX(M$7:M$37), N$7:N30&lt;&gt;"+"), "+", IF(AND(M31=MIN(M$7:M$37), N$7:N30&lt;&gt;"-"), "-", ""))</f>
        <v/>
      </c>
      <c r="O31" s="35"/>
      <c r="P31" s="35"/>
      <c r="Q31" s="35"/>
    </row>
    <row r="32" spans="1:17" ht="15" x14ac:dyDescent="0.25">
      <c r="A32" s="30">
        <f>IF(ISBLANK('CWMS Data'!$B34), "", 'CWMS Data'!$B34)</f>
        <v>44069</v>
      </c>
      <c r="B32" s="31">
        <f>IF(ISBLANK('CWMS Data'!$K34), "", 'CWMS Data'!$K34)</f>
        <v>2238.9199999999996</v>
      </c>
      <c r="C32" s="13" t="str">
        <f t="array" ref="C32">IF(AND(B32=MAX(B$7:B$37), C$7:C31&lt;&gt;"+"), "+", IF(AND(B32=MIN(B$7:B$37), C$7:C31&lt;&gt;"-"), "-", ""))</f>
        <v/>
      </c>
      <c r="D32" s="32">
        <f>IF(ISBLANK('CWMS Data'!$D34), "", 'CWMS Data'!$D34)</f>
        <v>0.4</v>
      </c>
      <c r="E32" s="130">
        <f>IF(ISBLANK('CWMS Data'!$C34), "", 'CWMS Data'!$C34)</f>
        <v>2400</v>
      </c>
      <c r="F32" s="13" t="str">
        <f t="array" ref="F32">IF(AND(E32=MAX(E$7:E$37), F$7:F31&lt;&gt;"+"), "+", IF(AND(E32=MIN(E$7:E$37), F$7:F31&lt;&gt;"-"), "-", ""))</f>
        <v/>
      </c>
      <c r="G32" s="34">
        <f>IF(ISBLANK('CWMS Data'!$E34), "", 'CWMS Data'!$E34)</f>
        <v>11100</v>
      </c>
      <c r="H32" s="14" t="str">
        <f t="array" ref="H32">IF(AND(G32=MAX(G$7:G$37), H$7:H31&lt;&gt;"+"), "+", IF(AND(G32=MIN(G$7:G$37), H$7:H31&lt;&gt;"-"), "-", ""))</f>
        <v/>
      </c>
      <c r="I32" s="33">
        <f>IF(ISBLANK('CWMS Data'!$F34), "", 'CWMS Data'!$F34)</f>
        <v>0</v>
      </c>
      <c r="J32" s="14" t="str">
        <f t="array" ref="J32">IF(AND(I32=MAX(I$7:I$37), J$7:J31&lt;&gt;"+"), "+", IF(AND(I32=MIN(I$7:I$37), J$7:J31&lt;&gt;"-"), "-", ""))</f>
        <v/>
      </c>
      <c r="K32" s="119">
        <f t="shared" si="0"/>
        <v>11100</v>
      </c>
      <c r="L32" s="13" t="str">
        <f t="array" ref="L32">IF(AND(K32=MAX(K$7:K$37), L$7:L31&lt;&gt;"+"), "+", IF(AND(K32=MIN(K$7:K$37), L$7:L31&lt;&gt;"-"), "-", ""))</f>
        <v/>
      </c>
      <c r="M32" s="34">
        <f>IF(ISBLANK('CWMS Data'!$H34), "", 'CWMS Data'!$H34)</f>
        <v>7000.0000000000009</v>
      </c>
      <c r="N32" s="13" t="str">
        <f t="array" ref="N32">IF(AND(M32=MAX(M$7:M$37), N$7:N31&lt;&gt;"+"), "+", IF(AND(M32=MIN(M$7:M$37), N$7:N31&lt;&gt;"-"), "-", ""))</f>
        <v/>
      </c>
      <c r="O32" s="35"/>
      <c r="P32" s="35"/>
      <c r="Q32" s="35"/>
    </row>
    <row r="33" spans="1:18" ht="15" x14ac:dyDescent="0.25">
      <c r="A33" s="30">
        <f>IF(ISBLANK('CWMS Data'!$B35), "", 'CWMS Data'!$B35)</f>
        <v>44070</v>
      </c>
      <c r="B33" s="31">
        <f>IF(ISBLANK('CWMS Data'!$K35), "", 'CWMS Data'!$K35)</f>
        <v>2238.7199999999998</v>
      </c>
      <c r="C33" s="13" t="str">
        <f t="array" ref="C33">IF(AND(B33=MAX(B$7:B$37), C$7:C32&lt;&gt;"+"), "+", IF(AND(B33=MIN(B$7:B$37), C$7:C32&lt;&gt;"-"), "-", ""))</f>
        <v/>
      </c>
      <c r="D33" s="32">
        <f>IF(ISBLANK('CWMS Data'!$D35), "", 'CWMS Data'!$D35)</f>
        <v>0.4</v>
      </c>
      <c r="E33" s="130">
        <f>IF(ISBLANK('CWMS Data'!$C35), "", 'CWMS Data'!$C35)</f>
        <v>2400</v>
      </c>
      <c r="F33" s="13" t="str">
        <f t="array" ref="F33">IF(AND(E33=MAX(E$7:E$37), F$7:F32&lt;&gt;"+"), "+", IF(AND(E33=MIN(E$7:E$37), F$7:F32&lt;&gt;"-"), "-", ""))</f>
        <v/>
      </c>
      <c r="G33" s="34">
        <f>IF(ISBLANK('CWMS Data'!$E35), "", 'CWMS Data'!$E35)</f>
        <v>11300</v>
      </c>
      <c r="H33" s="14" t="str">
        <f t="array" ref="H33">IF(AND(G33=MAX(G$7:G$37), H$7:H32&lt;&gt;"+"), "+", IF(AND(G33=MIN(G$7:G$37), H$7:H32&lt;&gt;"-"), "-", ""))</f>
        <v/>
      </c>
      <c r="I33" s="33">
        <f>IF(ISBLANK('CWMS Data'!$F35), "", 'CWMS Data'!$F35)</f>
        <v>0</v>
      </c>
      <c r="J33" s="14" t="str">
        <f t="array" ref="J33">IF(AND(I33=MAX(I$7:I$37), J$7:J32&lt;&gt;"+"), "+", IF(AND(I33=MIN(I$7:I$37), J$7:J32&lt;&gt;"-"), "-", ""))</f>
        <v/>
      </c>
      <c r="K33" s="119">
        <f t="shared" si="0"/>
        <v>11300</v>
      </c>
      <c r="L33" s="13" t="str">
        <f t="array" ref="L33">IF(AND(K33=MAX(K$7:K$37), L$7:L32&lt;&gt;"+"), "+", IF(AND(K33=MIN(K$7:K$37), L$7:L32&lt;&gt;"-"), "-", ""))</f>
        <v/>
      </c>
      <c r="M33" s="34">
        <f>IF(ISBLANK('CWMS Data'!$H35), "", 'CWMS Data'!$H35)</f>
        <v>7000.0000000000009</v>
      </c>
      <c r="N33" s="13" t="str">
        <f t="array" ref="N33">IF(AND(M33=MAX(M$7:M$37), N$7:N32&lt;&gt;"+"), "+", IF(AND(M33=MIN(M$7:M$37), N$7:N32&lt;&gt;"-"), "-", ""))</f>
        <v/>
      </c>
      <c r="O33" s="35"/>
      <c r="P33" s="35"/>
      <c r="Q33" s="35"/>
    </row>
    <row r="34" spans="1:18" ht="15" x14ac:dyDescent="0.25">
      <c r="A34" s="30">
        <f>IF(ISBLANK('CWMS Data'!$B36), "", 'CWMS Data'!$B36)</f>
        <v>44071</v>
      </c>
      <c r="B34" s="31">
        <f>IF(ISBLANK('CWMS Data'!$K36), "", 'CWMS Data'!$K36)</f>
        <v>2238.8099999999995</v>
      </c>
      <c r="C34" s="13" t="str">
        <f t="array" ref="C34">IF(AND(B34=MAX(B$7:B$37), C$7:C33&lt;&gt;"+"), "+", IF(AND(B34=MIN(B$7:B$37), C$7:C33&lt;&gt;"-"), "-", ""))</f>
        <v/>
      </c>
      <c r="D34" s="32">
        <f>IF(ISBLANK('CWMS Data'!$D36), "", 'CWMS Data'!$D36)</f>
        <v>0.3</v>
      </c>
      <c r="E34" s="140">
        <f>IF(ISBLANK('CWMS Data'!$C36), "", 'CWMS Data'!$C36)</f>
        <v>1800.0000000000002</v>
      </c>
      <c r="F34" s="13" t="str">
        <f t="array" ref="F34">IF(AND(E34=MAX(E$7:E$37), F$7:F33&lt;&gt;"+"), "+", IF(AND(E34=MIN(E$7:E$37), F$7:F33&lt;&gt;"-"), "-", ""))</f>
        <v/>
      </c>
      <c r="G34" s="34">
        <f>IF(ISBLANK('CWMS Data'!$E36), "", 'CWMS Data'!$E36)</f>
        <v>11200</v>
      </c>
      <c r="H34" s="14" t="str">
        <f t="array" ref="H34">IF(AND(G34=MAX(G$7:G$37), H$7:H33&lt;&gt;"+"), "+", IF(AND(G34=MIN(G$7:G$37), H$7:H33&lt;&gt;"-"), "-", ""))</f>
        <v/>
      </c>
      <c r="I34" s="33">
        <f>IF(ISBLANK('CWMS Data'!$F36), "", 'CWMS Data'!$F36)</f>
        <v>0</v>
      </c>
      <c r="J34" s="14" t="str">
        <f t="array" ref="J34">IF(AND(I34=MAX(I$7:I$37), J$7:J33&lt;&gt;"+"), "+", IF(AND(I34=MIN(I$7:I$37), J$7:J33&lt;&gt;"-"), "-", ""))</f>
        <v/>
      </c>
      <c r="K34" s="119">
        <f t="shared" si="0"/>
        <v>11200</v>
      </c>
      <c r="L34" s="13" t="str">
        <f t="array" ref="L34">IF(AND(K34=MAX(K$7:K$37), L$7:L33&lt;&gt;"+"), "+", IF(AND(K34=MIN(K$7:K$37), L$7:L33&lt;&gt;"-"), "-", ""))</f>
        <v/>
      </c>
      <c r="M34" s="34">
        <f>IF(ISBLANK('CWMS Data'!$H36), "", 'CWMS Data'!$H36)</f>
        <v>6000</v>
      </c>
      <c r="N34" s="13" t="str">
        <f t="array" ref="N34">IF(AND(M34=MAX(M$7:M$37), N$7:N33&lt;&gt;"+"), "+", IF(AND(M34=MIN(M$7:M$37), N$7:N33&lt;&gt;"-"), "-", ""))</f>
        <v/>
      </c>
      <c r="O34" s="35"/>
      <c r="P34" s="35"/>
      <c r="Q34" s="35"/>
    </row>
    <row r="35" spans="1:18" ht="15" x14ac:dyDescent="0.25">
      <c r="A35" s="30">
        <f>IF(ISBLANK('CWMS Data'!$B37), "", 'CWMS Data'!$B37)</f>
        <v>44072</v>
      </c>
      <c r="B35" s="31">
        <f>IF(ISBLANK('CWMS Data'!$K37), "", 'CWMS Data'!$K37)</f>
        <v>2238.7199999999998</v>
      </c>
      <c r="C35" s="13" t="str">
        <f t="array" ref="C35">IF(AND(B35=MAX(B$7:B$37), C$7:C34&lt;&gt;"+"), "+", IF(AND(B35=MIN(B$7:B$37), C$7:C34&lt;&gt;"-"), "-", ""))</f>
        <v/>
      </c>
      <c r="D35" s="32">
        <f>IF(ISBLANK('CWMS Data'!$D37), "", 'CWMS Data'!$D37)</f>
        <v>0.4</v>
      </c>
      <c r="E35" s="136">
        <f>IF(ISBLANK('CWMS Data'!$C37), "", 'CWMS Data'!$C37)</f>
        <v>2400</v>
      </c>
      <c r="F35" s="13" t="str">
        <f t="array" ref="F35">IF(AND(E35=MAX(E$7:E$37), F$7:F34&lt;&gt;"+"), "+", IF(AND(E35=MIN(E$7:E$37), F$7:F34&lt;&gt;"-"), "-", ""))</f>
        <v/>
      </c>
      <c r="G35" s="34">
        <f>IF(ISBLANK('CWMS Data'!$E37), "", 'CWMS Data'!$E37)</f>
        <v>11000</v>
      </c>
      <c r="H35" s="14" t="str">
        <f t="array" ref="H35">IF(AND(G35=MAX(G$7:G$37), H$7:H34&lt;&gt;"+"), "+", IF(AND(G35=MIN(G$7:G$37), H$7:H34&lt;&gt;"-"), "-", ""))</f>
        <v/>
      </c>
      <c r="I35" s="33">
        <f>IF(ISBLANK('CWMS Data'!$F37), "", 'CWMS Data'!$F37)</f>
        <v>0</v>
      </c>
      <c r="J35" s="14" t="str">
        <f t="array" ref="J35">IF(AND(I35=MAX(I$7:I$37), J$7:J34&lt;&gt;"+"), "+", IF(AND(I35=MIN(I$7:I$37), J$7:J34&lt;&gt;"-"), "-", ""))</f>
        <v/>
      </c>
      <c r="K35" s="119">
        <f t="shared" si="0"/>
        <v>11000</v>
      </c>
      <c r="L35" s="13" t="str">
        <f t="array" ref="L35">IF(AND(K35=MAX(K$7:K$37), L$7:L34&lt;&gt;"+"), "+", IF(AND(K35=MIN(K$7:K$37), L$7:L34&lt;&gt;"-"), "-", ""))</f>
        <v/>
      </c>
      <c r="M35" s="34">
        <f>IF(ISBLANK('CWMS Data'!$H37), "", 'CWMS Data'!$H37)</f>
        <v>7000.0000000000009</v>
      </c>
      <c r="N35" s="13" t="str">
        <f t="array" ref="N35">IF(AND(M35=MAX(M$7:M$37), N$7:N34&lt;&gt;"+"), "+", IF(AND(M35=MIN(M$7:M$37), N$7:N34&lt;&gt;"-"), "-", ""))</f>
        <v/>
      </c>
      <c r="O35" s="35"/>
      <c r="P35" s="35"/>
      <c r="Q35" s="35"/>
    </row>
    <row r="36" spans="1:18" ht="15" x14ac:dyDescent="0.25">
      <c r="A36" s="30">
        <f>IF(ISBLANK('CWMS Data'!$B38), "", 'CWMS Data'!$B38)</f>
        <v>44073</v>
      </c>
      <c r="B36" s="31">
        <f>IF(ISBLANK('CWMS Data'!$K38), "", 'CWMS Data'!$K38)</f>
        <v>2238.7199999999998</v>
      </c>
      <c r="C36" s="13" t="str">
        <f t="array" ref="C36">IF(AND(B36=MAX(B$7:B$37), C$7:C35&lt;&gt;"+"), "+", IF(AND(B36=MIN(B$7:B$37), C$7:C35&lt;&gt;"-"), "-", ""))</f>
        <v/>
      </c>
      <c r="D36" s="32">
        <f>IF(ISBLANK('CWMS Data'!$D38), "", 'CWMS Data'!$D38)</f>
        <v>0.4</v>
      </c>
      <c r="E36" s="136">
        <f>IF(ISBLANK('CWMS Data'!$C38), "", 'CWMS Data'!$C38)</f>
        <v>2400</v>
      </c>
      <c r="F36" s="13" t="str">
        <f t="array" ref="F36">IF(AND(E36=MAX(E$7:E$37), F$7:F35&lt;&gt;"+"), "+", IF(AND(E36=MIN(E$7:E$37), F$7:F35&lt;&gt;"-"), "-", ""))</f>
        <v/>
      </c>
      <c r="G36" s="34">
        <f>IF(ISBLANK('CWMS Data'!$E38), "", 'CWMS Data'!$E38)</f>
        <v>11100</v>
      </c>
      <c r="H36" s="14" t="str">
        <f t="array" ref="H36">IF(AND(G36=MAX(G$7:G$37), H$7:H35&lt;&gt;"+"), "+", IF(AND(G36=MIN(G$7:G$37), H$7:H35&lt;&gt;"-"), "-", ""))</f>
        <v/>
      </c>
      <c r="I36" s="33">
        <f>IF(ISBLANK('CWMS Data'!$F38), "", 'CWMS Data'!$F38)</f>
        <v>0</v>
      </c>
      <c r="J36" s="14" t="str">
        <f t="array" ref="J36">IF(AND(I36=MAX(I$7:I$37), J$7:J35&lt;&gt;"+"), "+", IF(AND(I36=MIN(I$7:I$37), J$7:J35&lt;&gt;"-"), "-", ""))</f>
        <v/>
      </c>
      <c r="K36" s="119">
        <f t="shared" si="0"/>
        <v>11100</v>
      </c>
      <c r="L36" s="13" t="str">
        <f t="array" ref="L36">IF(AND(K36=MAX(K$7:K$37), L$7:L35&lt;&gt;"+"), "+", IF(AND(K36=MIN(K$7:K$37), L$7:L35&lt;&gt;"-"), "-", ""))</f>
        <v/>
      </c>
      <c r="M36" s="34">
        <f>IF(ISBLANK('CWMS Data'!$H38), "", 'CWMS Data'!$H38)</f>
        <v>7000.0000000000009</v>
      </c>
      <c r="N36" s="13" t="str">
        <f t="array" ref="N36">IF(AND(M36=MAX(M$7:M$37), N$7:N35&lt;&gt;"+"), "+", IF(AND(M36=MIN(M$7:M$37), N$7:N35&lt;&gt;"-"), "-", ""))</f>
        <v/>
      </c>
      <c r="O36" s="35"/>
      <c r="P36" s="35"/>
      <c r="Q36" s="35"/>
    </row>
    <row r="37" spans="1:18" ht="15" x14ac:dyDescent="0.25">
      <c r="A37" s="30">
        <f>IF(ISBLANK('CWMS Data'!$B39), "", 'CWMS Data'!$B39)</f>
        <v>44074</v>
      </c>
      <c r="B37" s="31">
        <f>IF(ISBLANK('CWMS Data'!$K39), "", 'CWMS Data'!$K39)</f>
        <v>2238.66</v>
      </c>
      <c r="C37" s="13" t="str">
        <f t="array" ref="C37">IF(AND(B37=MAX(B$7:B$37), C$7:C36&lt;&gt;"+"), "+", IF(AND(B37=MIN(B$7:B$37), C$7:C36&lt;&gt;"-"), "-", ""))</f>
        <v>-</v>
      </c>
      <c r="D37" s="32">
        <f>IF(ISBLANK('CWMS Data'!$D39), "", 'CWMS Data'!$D39)</f>
        <v>0.2</v>
      </c>
      <c r="E37" s="33">
        <v>1500</v>
      </c>
      <c r="F37" s="13" t="str">
        <f t="array" ref="F37">IF(AND(E37=MAX(E$7:E$37), F$7:F36&lt;&gt;"+"), "+", IF(AND(E37=MIN(E$7:E$37), F$7:F36&lt;&gt;"-"), "-", ""))</f>
        <v/>
      </c>
      <c r="G37" s="34">
        <f>IF(ISBLANK('CWMS Data'!$E39), "", 'CWMS Data'!$E39)</f>
        <v>11100</v>
      </c>
      <c r="H37" s="15" t="str">
        <f t="array" ref="H37">IF(AND(G37=MAX(G$7:G$37), H$7:H36&lt;&gt;"+"), "+", IF(AND(G37=MIN(G$7:G$37), H$7:H36&lt;&gt;"-"), "-", ""))</f>
        <v/>
      </c>
      <c r="I37" s="33">
        <f>IF(ISBLANK('CWMS Data'!$F39), "", 'CWMS Data'!$F39)</f>
        <v>0</v>
      </c>
      <c r="J37" s="15" t="str">
        <f t="array" ref="J37">IF(AND(I37=MAX(I$7:I$37), J$7:J36&lt;&gt;"+"), "+", IF(AND(I37=MIN(I$7:I$37), J$7:J36&lt;&gt;"-"), "-", ""))</f>
        <v/>
      </c>
      <c r="K37" s="33">
        <f>IF(A37="","",I37+G37)</f>
        <v>11100</v>
      </c>
      <c r="L37" s="13" t="str">
        <f t="array" ref="L37">IF(AND(K37=MAX(K$7:K$37), L$7:L36&lt;&gt;"+"), "+", IF(AND(K37=MIN(K$7:K$37), L$7:L36&lt;&gt;"-"), "-", ""))</f>
        <v/>
      </c>
      <c r="M37" s="34">
        <f>IF(ISBLANK('CWMS Data'!$H39), "", 'CWMS Data'!$H39)</f>
        <v>7000.0000000000009</v>
      </c>
      <c r="N37" s="13" t="str">
        <f t="array" ref="N37">IF(AND(M37=MAX(M$7:M$37), N$7:N36&lt;&gt;"+"), "+", IF(AND(M37=MIN(M$7:M$37), N$7:N36&lt;&gt;"-"), "-", ""))</f>
        <v/>
      </c>
      <c r="O37" s="37"/>
      <c r="P37" s="35"/>
      <c r="Q37" s="35"/>
    </row>
    <row r="38" spans="1:18" ht="15" x14ac:dyDescent="0.25">
      <c r="A38" s="155" t="s">
        <v>0</v>
      </c>
      <c r="B38" s="156"/>
      <c r="C38" s="186"/>
      <c r="D38" s="38">
        <f>SUM(D7:D37)</f>
        <v>10.700000000000001</v>
      </c>
      <c r="E38" s="39">
        <f>ROUND(SUM(E7:E37),-2)</f>
        <v>67300</v>
      </c>
      <c r="F38" s="40"/>
      <c r="G38" s="41">
        <f>ROUND(SUM(G7:G37),-2)</f>
        <v>309500</v>
      </c>
      <c r="H38" s="42"/>
      <c r="I38" s="39">
        <f>ROUND(SUM(I7:I37),-2)</f>
        <v>0</v>
      </c>
      <c r="J38" s="43"/>
      <c r="K38" s="39">
        <f>ROUND(SUM(K7:K37),-2)</f>
        <v>309500</v>
      </c>
      <c r="L38" s="44"/>
      <c r="M38" s="41">
        <f>ROUND(SUM(M7:M37),-3)</f>
        <v>216000</v>
      </c>
      <c r="N38" s="44"/>
      <c r="O38" s="35"/>
      <c r="P38" s="35"/>
      <c r="Q38" s="35"/>
    </row>
    <row r="39" spans="1:18" ht="15" x14ac:dyDescent="0.25">
      <c r="A39" s="187" t="s">
        <v>1</v>
      </c>
      <c r="B39" s="188"/>
      <c r="C39" s="189"/>
      <c r="D39" s="45"/>
      <c r="E39" s="46">
        <f>ROUND(SUM(E7:E37)*(86400/43560),-2)</f>
        <v>133500</v>
      </c>
      <c r="F39" s="47"/>
      <c r="G39" s="46">
        <f>ROUND(SUM(G7:G37)*(86400/43560),-3)</f>
        <v>614000</v>
      </c>
      <c r="H39" s="49"/>
      <c r="I39" s="46">
        <f>ROUND(SUM(I7:I37)*(86400/43560),-3)</f>
        <v>0</v>
      </c>
      <c r="J39" s="50"/>
      <c r="K39" s="46">
        <f>ROUND(SUM(K7:K37)*(86400/43560),-3)</f>
        <v>614000</v>
      </c>
      <c r="L39" s="51"/>
      <c r="M39" s="46">
        <f>ROUND(SUM(M7:M37)*(86400/43560),-3)</f>
        <v>428000</v>
      </c>
      <c r="N39" s="51"/>
      <c r="O39" s="35"/>
      <c r="Q39" s="121"/>
    </row>
    <row r="40" spans="1:18" ht="15" x14ac:dyDescent="0.25">
      <c r="A40" s="17" t="s">
        <v>2</v>
      </c>
      <c r="B40" s="52">
        <f>AVERAGE(B7:B37)</f>
        <v>2239.442258064516</v>
      </c>
      <c r="C40" s="53"/>
      <c r="D40" s="54">
        <f>AVERAGE(D7:D37)</f>
        <v>0.34516129032258069</v>
      </c>
      <c r="E40" s="46">
        <f>ROUND(AVERAGE(E7:E37),-2)</f>
        <v>2200</v>
      </c>
      <c r="F40" s="47"/>
      <c r="G40" s="55">
        <f>ROUND(AVERAGE(G7:G37),-2)</f>
        <v>10000</v>
      </c>
      <c r="H40" s="56"/>
      <c r="I40" s="57">
        <f>ROUND(AVERAGE(I7:I37),-2)</f>
        <v>0</v>
      </c>
      <c r="J40" s="58"/>
      <c r="K40" s="57">
        <f>ROUND(AVERAGE(K7:K37),-2)</f>
        <v>10000</v>
      </c>
      <c r="L40" s="59"/>
      <c r="M40" s="46">
        <f>ROUND(AVERAGE(M7:M37),-2)</f>
        <v>7000</v>
      </c>
      <c r="N40" s="51"/>
      <c r="O40" s="35"/>
      <c r="Q40" s="121"/>
    </row>
    <row r="41" spans="1:18" ht="15" x14ac:dyDescent="0.25">
      <c r="A41" s="155" t="s">
        <v>25</v>
      </c>
      <c r="B41" s="156"/>
      <c r="C41" s="156"/>
      <c r="D41" s="156"/>
      <c r="E41" s="18" t="s">
        <v>31</v>
      </c>
      <c r="F41" s="157">
        <f>INDEX('CWMS Data'!$B$8:$BE$39,MATCH(MAX($A$7:$A$37),'CWMS Data'!$B$8:$B$39,0), 9)</f>
        <v>15797000</v>
      </c>
      <c r="G41" s="157"/>
      <c r="H41" s="62"/>
      <c r="I41" s="62"/>
      <c r="J41" s="153" t="s">
        <v>44</v>
      </c>
      <c r="K41" s="153"/>
      <c r="L41" s="157">
        <f>INDEX('CWMS Data'!$B$8:$BE$39,MATCH(MAX($A$7:$A$37),'CWMS Data'!$B$8:$B$39,0), 9)-'CWMS Data'!J8</f>
        <v>-319000</v>
      </c>
      <c r="M41" s="157"/>
      <c r="N41" s="64"/>
      <c r="Q41" s="121"/>
    </row>
    <row r="42" spans="1:18" ht="15" x14ac:dyDescent="0.25">
      <c r="A42" s="19" t="str">
        <f>TEXT("+ Max", 0)</f>
        <v>+ Max</v>
      </c>
      <c r="B42" s="60"/>
      <c r="C42" s="61"/>
      <c r="D42" s="154" t="s">
        <v>46</v>
      </c>
      <c r="E42" s="154"/>
      <c r="F42" s="157">
        <f>MAX('CWMS Data'!J9:J39)</f>
        <v>16109999.999999998</v>
      </c>
      <c r="G42" s="157"/>
      <c r="H42" s="62"/>
      <c r="I42" s="62"/>
      <c r="J42" s="154" t="s">
        <v>33</v>
      </c>
      <c r="K42" s="154"/>
      <c r="L42" s="157">
        <f>MIN('CWMS Data'!J9:J39)</f>
        <v>15797000</v>
      </c>
      <c r="M42" s="157"/>
      <c r="N42" s="65"/>
      <c r="Q42" s="121"/>
      <c r="R42" s="121"/>
    </row>
    <row r="43" spans="1:18" ht="15" x14ac:dyDescent="0.25">
      <c r="A43" s="19" t="str">
        <f>TEXT("- Min", 0)</f>
        <v>- Min</v>
      </c>
      <c r="B43" s="60"/>
      <c r="C43" s="61"/>
      <c r="D43" s="185" t="s">
        <v>45</v>
      </c>
      <c r="E43" s="185"/>
      <c r="F43" s="66" t="str">
        <f t="array" ref="F43">TEXT(SUM(IF('CWMS Data'!I9:I39&lt;&gt;-901,'CWMS Data'!I9:I39)), "0.00")&amp;" inches"</f>
        <v>0.00 inches</v>
      </c>
      <c r="G43" s="66"/>
      <c r="H43" s="62"/>
      <c r="I43" s="62"/>
      <c r="J43" s="61"/>
      <c r="K43" s="62"/>
      <c r="L43" s="61"/>
      <c r="M43" s="62"/>
      <c r="N43" s="65"/>
    </row>
    <row r="44" spans="1:18" x14ac:dyDescent="0.2">
      <c r="A44" s="190" t="s">
        <v>88</v>
      </c>
      <c r="B44" s="191"/>
      <c r="C44" s="191"/>
      <c r="D44" s="191"/>
      <c r="E44" s="191"/>
      <c r="F44" s="191"/>
      <c r="G44" s="191"/>
      <c r="H44" s="191"/>
      <c r="I44" s="191"/>
      <c r="J44" s="191"/>
      <c r="K44" s="191"/>
      <c r="L44" s="191"/>
      <c r="M44" s="196">
        <f>F3</f>
        <v>44044</v>
      </c>
      <c r="N44" s="197"/>
    </row>
    <row r="45" spans="1:18" x14ac:dyDescent="0.2">
      <c r="A45" s="192"/>
      <c r="B45" s="193"/>
      <c r="C45" s="193"/>
      <c r="D45" s="193"/>
      <c r="E45" s="193"/>
      <c r="F45" s="193"/>
      <c r="G45" s="193"/>
      <c r="H45" s="193"/>
      <c r="I45" s="193"/>
      <c r="J45" s="193"/>
      <c r="K45" s="193"/>
      <c r="L45" s="193"/>
      <c r="M45" s="198"/>
      <c r="N45" s="199"/>
    </row>
    <row r="46" spans="1:18" x14ac:dyDescent="0.2">
      <c r="A46" s="194"/>
      <c r="B46" s="195"/>
      <c r="C46" s="195"/>
      <c r="D46" s="195"/>
      <c r="E46" s="195"/>
      <c r="F46" s="195"/>
      <c r="G46" s="195"/>
      <c r="H46" s="195"/>
      <c r="I46" s="195"/>
      <c r="J46" s="195"/>
      <c r="K46" s="195"/>
      <c r="L46" s="195"/>
      <c r="M46" s="200"/>
      <c r="N46" s="201"/>
    </row>
    <row r="47" spans="1:18" x14ac:dyDescent="0.2">
      <c r="M47" s="35"/>
      <c r="N47" s="35"/>
    </row>
  </sheetData>
  <sheetProtection formatCells="0"/>
  <mergeCells count="30">
    <mergeCell ref="D43:E43"/>
    <mergeCell ref="A38:C38"/>
    <mergeCell ref="A39:C39"/>
    <mergeCell ref="A44:L46"/>
    <mergeCell ref="M44:N46"/>
    <mergeCell ref="A1:N1"/>
    <mergeCell ref="P6:S6"/>
    <mergeCell ref="A2:E2"/>
    <mergeCell ref="F2:N2"/>
    <mergeCell ref="A3:E3"/>
    <mergeCell ref="F3:H3"/>
    <mergeCell ref="I3:N3"/>
    <mergeCell ref="G4:N4"/>
    <mergeCell ref="B5:C5"/>
    <mergeCell ref="G5:L5"/>
    <mergeCell ref="M5:N5"/>
    <mergeCell ref="D4:F4"/>
    <mergeCell ref="B6:C6"/>
    <mergeCell ref="P1:Q1"/>
    <mergeCell ref="P7:S7"/>
    <mergeCell ref="P8:S8"/>
    <mergeCell ref="J41:K41"/>
    <mergeCell ref="J42:K42"/>
    <mergeCell ref="D42:E42"/>
    <mergeCell ref="A41:D41"/>
    <mergeCell ref="F41:G41"/>
    <mergeCell ref="L41:M41"/>
    <mergeCell ref="F42:G42"/>
    <mergeCell ref="L42:M42"/>
    <mergeCell ref="P9:Q9"/>
  </mergeCells>
  <conditionalFormatting sqref="A7:N37">
    <cfRule type="expression" dxfId="19" priority="4">
      <formula>AND(DAY($A7) / 5 = INT(DAY($A7) / 5), DAY($A7)&lt;&gt;30)</formula>
    </cfRule>
  </conditionalFormatting>
  <conditionalFormatting sqref="R9">
    <cfRule type="cellIs" dxfId="18" priority="1" operator="notBetween">
      <formula>-99.9999999</formula>
      <formula>99.9999999</formula>
    </cfRule>
  </conditionalFormatting>
  <dataValidations count="2">
    <dataValidation type="list" allowBlank="1" showInputMessage="1" showErrorMessage="1" sqref="R1" xr:uid="{00000000-0002-0000-0000-000000000000}">
      <formula1>"No, Yes"</formula1>
    </dataValidation>
    <dataValidation type="custom" allowBlank="1" showInputMessage="1" showErrorMessage="1" errorTitle="Protected Cell" error="This cell is protected.  To edit, change cell R1 to &quot;No&quot;." sqref="N7:N37 M44:N46 A1:N6 A7:D37 F7:L37 A38:N43" xr:uid="{00000000-0002-0000-0000-000001000000}">
      <formula1>IF($R$1 = "Yes", FALSE, TRUE)</formula1>
    </dataValidation>
  </dataValidations>
  <printOptions horizontalCentered="1" verticalCentered="1"/>
  <pageMargins left="0.7" right="0.7" top="0.5" bottom="0.5" header="0.3" footer="0.3"/>
  <pageSetup scale="9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B451D881-7BAD-4DC4-862B-87931675DEF6}">
            <xm:f>K7&lt;&gt;'CWMS Data'!G9</xm:f>
            <x14:dxf>
              <font>
                <b/>
                <i val="0"/>
                <color theme="5"/>
              </font>
              <fill>
                <patternFill>
                  <bgColor theme="5" tint="0.79998168889431442"/>
                </patternFill>
              </fill>
            </x14:dxf>
          </x14:cfRule>
          <xm:sqref>K7:K37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/>
  <dimension ref="A1:AH47"/>
  <sheetViews>
    <sheetView zoomScale="90" zoomScaleNormal="90" workbookViewId="0">
      <selection activeCell="G25" sqref="G25"/>
    </sheetView>
  </sheetViews>
  <sheetFormatPr defaultColWidth="9.140625" defaultRowHeight="14.25" x14ac:dyDescent="0.2"/>
  <cols>
    <col min="1" max="1" width="8" style="24" customWidth="1"/>
    <col min="2" max="2" width="11" style="24" customWidth="1"/>
    <col min="3" max="3" width="2" style="24" customWidth="1"/>
    <col min="4" max="4" width="8.28515625" style="24" customWidth="1"/>
    <col min="5" max="5" width="8.42578125" style="24" customWidth="1"/>
    <col min="6" max="6" width="2" style="24" customWidth="1"/>
    <col min="7" max="7" width="9.85546875" style="24" customWidth="1"/>
    <col min="8" max="8" width="2" style="24" customWidth="1"/>
    <col min="9" max="9" width="9.85546875" style="24" customWidth="1"/>
    <col min="10" max="10" width="2" style="24" customWidth="1"/>
    <col min="11" max="11" width="9.85546875" style="24" customWidth="1"/>
    <col min="12" max="12" width="2" style="24" customWidth="1"/>
    <col min="13" max="13" width="8.42578125" style="24" customWidth="1"/>
    <col min="14" max="14" width="2" style="24" customWidth="1"/>
    <col min="15" max="15" width="9.85546875" style="24" customWidth="1"/>
    <col min="16" max="16" width="2" style="24" customWidth="1"/>
    <col min="17" max="17" width="9.28515625" style="24" customWidth="1"/>
    <col min="18" max="18" width="11" style="24" bestFit="1" customWidth="1"/>
    <col min="19" max="19" width="10.140625" style="24" bestFit="1" customWidth="1"/>
    <col min="20" max="22" width="9.140625" style="24"/>
    <col min="23" max="23" width="11.7109375" style="24" bestFit="1" customWidth="1"/>
    <col min="24" max="25" width="9.140625" style="24"/>
    <col min="26" max="26" width="12" style="24" customWidth="1"/>
    <col min="27" max="16384" width="9.140625" style="24"/>
  </cols>
  <sheetData>
    <row r="1" spans="1:34" ht="15.75" x14ac:dyDescent="0.25">
      <c r="A1" s="160" t="s">
        <v>43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23"/>
      <c r="R1" s="184" t="s">
        <v>67</v>
      </c>
      <c r="S1" s="184"/>
      <c r="T1" s="116" t="s">
        <v>68</v>
      </c>
    </row>
    <row r="2" spans="1:34" ht="15.75" x14ac:dyDescent="0.25">
      <c r="A2" s="160" t="s">
        <v>47</v>
      </c>
      <c r="B2" s="160"/>
      <c r="C2" s="160"/>
      <c r="D2" s="160"/>
      <c r="E2" s="160"/>
      <c r="F2" s="160" t="s">
        <v>36</v>
      </c>
      <c r="G2" s="160"/>
      <c r="H2" s="160"/>
      <c r="I2" s="160"/>
      <c r="J2" s="160"/>
      <c r="K2" s="160"/>
      <c r="L2" s="160"/>
      <c r="M2" s="160"/>
      <c r="N2" s="160"/>
      <c r="O2" s="160"/>
      <c r="P2" s="160"/>
      <c r="AA2" s="23"/>
      <c r="AB2" s="23"/>
      <c r="AC2" s="23"/>
      <c r="AD2" s="23"/>
      <c r="AE2" s="23"/>
      <c r="AF2" s="23"/>
      <c r="AG2" s="23"/>
      <c r="AH2" s="23"/>
    </row>
    <row r="3" spans="1:34" ht="15" x14ac:dyDescent="0.25">
      <c r="A3" s="164" t="s">
        <v>52</v>
      </c>
      <c r="B3" s="164"/>
      <c r="C3" s="164"/>
      <c r="D3" s="164"/>
      <c r="E3" s="164"/>
      <c r="F3" s="165">
        <f>'CWMS Data'!$B$9</f>
        <v>44044</v>
      </c>
      <c r="G3" s="165"/>
      <c r="H3" s="165"/>
      <c r="I3" s="166" t="s">
        <v>35</v>
      </c>
      <c r="J3" s="167"/>
      <c r="K3" s="167"/>
      <c r="L3" s="167"/>
      <c r="M3" s="167"/>
      <c r="N3" s="167"/>
      <c r="O3" s="167"/>
      <c r="P3" s="167"/>
    </row>
    <row r="4" spans="1:34" ht="15" x14ac:dyDescent="0.25">
      <c r="A4" s="6"/>
      <c r="B4" s="6"/>
      <c r="C4" s="7"/>
      <c r="D4" s="179" t="s">
        <v>56</v>
      </c>
      <c r="E4" s="180"/>
      <c r="F4" s="181"/>
      <c r="G4" s="168" t="s">
        <v>34</v>
      </c>
      <c r="H4" s="169"/>
      <c r="I4" s="169"/>
      <c r="J4" s="169"/>
      <c r="K4" s="169"/>
      <c r="L4" s="169"/>
      <c r="M4" s="169"/>
      <c r="N4" s="170"/>
      <c r="O4" s="170"/>
      <c r="P4" s="171"/>
      <c r="Q4" s="25"/>
    </row>
    <row r="5" spans="1:34" ht="15" x14ac:dyDescent="0.25">
      <c r="A5" s="8">
        <f>$F$3</f>
        <v>44044</v>
      </c>
      <c r="B5" s="172" t="s">
        <v>27</v>
      </c>
      <c r="C5" s="173"/>
      <c r="D5" s="21" t="s">
        <v>57</v>
      </c>
      <c r="E5" s="22" t="s">
        <v>58</v>
      </c>
      <c r="F5" s="26"/>
      <c r="G5" s="174" t="s">
        <v>28</v>
      </c>
      <c r="H5" s="174"/>
      <c r="I5" s="174"/>
      <c r="J5" s="175"/>
      <c r="K5" s="175"/>
      <c r="L5" s="175"/>
      <c r="M5" s="175"/>
      <c r="N5" s="176"/>
      <c r="O5" s="177" t="s">
        <v>29</v>
      </c>
      <c r="P5" s="178"/>
    </row>
    <row r="6" spans="1:34" ht="15" x14ac:dyDescent="0.25">
      <c r="A6" s="9">
        <f>$F$3</f>
        <v>44044</v>
      </c>
      <c r="B6" s="182" t="s">
        <v>42</v>
      </c>
      <c r="C6" s="183"/>
      <c r="D6" s="10" t="s">
        <v>40</v>
      </c>
      <c r="E6" s="11" t="s">
        <v>41</v>
      </c>
      <c r="F6" s="27"/>
      <c r="G6" s="11" t="s">
        <v>37</v>
      </c>
      <c r="H6" s="11"/>
      <c r="I6" s="11" t="s">
        <v>38</v>
      </c>
      <c r="J6" s="11"/>
      <c r="K6" s="11" t="s">
        <v>39</v>
      </c>
      <c r="L6" s="11"/>
      <c r="M6" s="11" t="s">
        <v>49</v>
      </c>
      <c r="N6" s="12"/>
      <c r="O6" s="10"/>
      <c r="P6" s="28"/>
      <c r="Q6" s="29"/>
      <c r="R6" s="161" t="s">
        <v>53</v>
      </c>
      <c r="S6" s="162"/>
      <c r="T6" s="162"/>
      <c r="U6" s="163"/>
    </row>
    <row r="7" spans="1:34" ht="15" x14ac:dyDescent="0.25">
      <c r="A7" s="30">
        <f>IF(ISBLANK('CWMS Data'!$B9), "", 'CWMS Data'!$B9)</f>
        <v>44044</v>
      </c>
      <c r="B7" s="31">
        <f>IF(ISBLANK('CWMS Data'!$U9), "", 'CWMS Data'!$U9)</f>
        <v>1843.3899999999999</v>
      </c>
      <c r="C7" s="13" t="str">
        <f>IF(B7=MAX(B$7:B$37),"+", IF(B7=MIN(B$7:B$37), "-", ""))</f>
        <v>+</v>
      </c>
      <c r="D7" s="32">
        <f>IF(ISBLANK('CWMS Data'!$M9), "", 'CWMS Data'!$M9)</f>
        <v>0</v>
      </c>
      <c r="E7" s="33">
        <f>IF(ISBLANK('CWMS Data'!$L9), "", 'CWMS Data'!$L9)</f>
        <v>2500.0000000000005</v>
      </c>
      <c r="F7" s="13" t="str">
        <f>IF(E7=MAX(E$7:E$37),"+", IF(E7=MIN(E$7:E$37), "-", ""))</f>
        <v>+</v>
      </c>
      <c r="G7" s="34">
        <f>IF(ISBLANK('CWMS Data'!$N9), "", 'CWMS Data'!$N9)</f>
        <v>28100.000000000004</v>
      </c>
      <c r="H7" s="16" t="str">
        <f>IF(G7=MAX(G$7:G$37),"+", IF(G7=MIN(G$7:G$37), "-", ""))</f>
        <v/>
      </c>
      <c r="I7" s="33">
        <f>IF(ISBLANK('CWMS Data'!$O9), "", 'CWMS Data'!$O9)</f>
        <v>0</v>
      </c>
      <c r="J7" s="16" t="str">
        <f>IF(I7=MAX(I$7:I$37),"+", IF(I7=MIN(I$7:I$37), "-", ""))</f>
        <v>+</v>
      </c>
      <c r="K7" s="119">
        <f t="shared" ref="K7:K36" si="0">IF(A7="","",I7+G7)</f>
        <v>28100.000000000004</v>
      </c>
      <c r="L7" s="14" t="str">
        <f>IF(K7=MAX(K$7:K$37),"+", IF(K7=MIN(K$7:K$37), "-", ""))</f>
        <v/>
      </c>
      <c r="M7" s="33">
        <f>IF(ISBLANK('CWMS Data'!$P9), "", 'CWMS Data'!$P9)</f>
        <v>0</v>
      </c>
      <c r="N7" s="13" t="str">
        <f>IF(M7=MAX(M$7:M$37),"+", IF(M7=MIN(M$7:M$37), "-", ""))</f>
        <v>-</v>
      </c>
      <c r="O7" s="34">
        <f>IF(ISBLANK('CWMS Data'!$R9), "", 'CWMS Data'!$R9)</f>
        <v>16000.000000000002</v>
      </c>
      <c r="P7" s="13" t="str">
        <f>IF(O7=MAX(O$7:O$37),"+", IF(O7=MIN(O$7:O$37), "-", ""))</f>
        <v>+</v>
      </c>
      <c r="Q7" s="35"/>
      <c r="R7" s="147" t="str">
        <f>IF(ROUND(GARR_Storage_Diff_cfs, -3)&lt;0, "Add " &amp; ABS(ROUNDDOWN(GARR_Storage_Diff_cfs, -3)) &amp; " cfs to inflow", "Subtract " &amp; IF(ABS(GARR_Storage_Diff_acft) &lt; 100, 0, ABS(ROUNDDOWN(GARR_Storage_Diff_cfs, -3))) &amp; " cfs to inflow")</f>
        <v>Subtract 0 cfs to inflow</v>
      </c>
      <c r="S7" s="148"/>
      <c r="T7" s="148"/>
      <c r="U7" s="149"/>
    </row>
    <row r="8" spans="1:34" ht="15" x14ac:dyDescent="0.25">
      <c r="A8" s="30">
        <f>IF(ISBLANK('CWMS Data'!$B10), "", 'CWMS Data'!$B10)</f>
        <v>44045</v>
      </c>
      <c r="B8" s="31">
        <f>IF(ISBLANK('CWMS Data'!$U10), "", 'CWMS Data'!$U10)</f>
        <v>1843.25</v>
      </c>
      <c r="C8" s="13" t="str">
        <f t="array" ref="C8">IF(AND(B8=MAX(B$7:B$37), C$7:C7&lt;&gt;"+"), "+", IF(AND(B8=MIN(B$7:B$37), C$7:C7&lt;&gt;"-"), "-", ""))</f>
        <v/>
      </c>
      <c r="D8" s="32">
        <f>IF(ISBLANK('CWMS Data'!$M10), "", 'CWMS Data'!$M10)</f>
        <v>0</v>
      </c>
      <c r="E8" s="144">
        <f>IF(ISBLANK('CWMS Data'!$L10), "", 'CWMS Data'!$L10)</f>
        <v>2500.0000000000005</v>
      </c>
      <c r="F8" s="13" t="str">
        <f t="array" ref="F8">IF(AND(E8=MAX(E$7:E$37), F$7:F7&lt;&gt;"+"), "+", IF(AND(E8=MIN(E$7:E$37), F$7:F7&lt;&gt;"-"), "-", ""))</f>
        <v/>
      </c>
      <c r="G8" s="34">
        <f>IF(ISBLANK('CWMS Data'!$N10), "", 'CWMS Data'!$N10)</f>
        <v>28200.000000000004</v>
      </c>
      <c r="H8" s="14" t="str">
        <f t="array" ref="H8">IF(AND(G8=MAX(G$7:G$37), H$7:H7&lt;&gt;"+"), "+", IF(AND(G8=MIN(G$7:G$37), H$7:H7&lt;&gt;"-"), "-", ""))</f>
        <v/>
      </c>
      <c r="I8" s="33">
        <f>IF(ISBLANK('CWMS Data'!$O10), "", 'CWMS Data'!$O10)</f>
        <v>0</v>
      </c>
      <c r="J8" s="14" t="str">
        <f t="array" ref="J8">IF(AND(I8=MAX(I$7:I$37), J$7:J7&lt;&gt;"+"), "+", IF(AND(I8=MIN(I$7:I$37), J$7:J7&lt;&gt;"-"), "-", ""))</f>
        <v>-</v>
      </c>
      <c r="K8" s="119">
        <f t="shared" si="0"/>
        <v>28200.000000000004</v>
      </c>
      <c r="L8" s="14" t="str">
        <f t="array" ref="L8">IF(AND(K8=MAX(K$7:K$37), L$7:L7&lt;&gt;"+"), "+", IF(AND(K8=MIN(K$7:K$37), L$7:L7&lt;&gt;"-"), "-", ""))</f>
        <v/>
      </c>
      <c r="M8" s="77">
        <f>IF(ISBLANK('CWMS Data'!$P10), "", 'CWMS Data'!$P10)</f>
        <v>0</v>
      </c>
      <c r="N8" s="13" t="str">
        <f t="array" ref="N8">IF(AND(M8=MAX(M$7:M$37), N$7:N7&lt;&gt;"+"), "+", IF(AND(M8=MIN(M$7:M$37), N$7:N7&lt;&gt;"-"), "-", ""))</f>
        <v/>
      </c>
      <c r="O8" s="34">
        <f>IF(ISBLANK('CWMS Data'!$R10), "", 'CWMS Data'!$R10)</f>
        <v>16000.000000000002</v>
      </c>
      <c r="P8" s="13" t="str">
        <f t="array" ref="P8">IF(AND(O8=MAX(O$7:O$37), P$7:P7&lt;&gt;"+"), "+", IF(AND(O8=MIN(O$7:O$37), P$7:P7&lt;&gt;"-"), "-", ""))</f>
        <v/>
      </c>
      <c r="Q8" s="35"/>
      <c r="R8" s="150" t="str">
        <f>IF(ROUND(ROUNDDOWN(GARR_Storage_Diff_cfs, -3) - GARR_Storage_Diff_cfs, -2)&lt;0, "Add ", "Subtract ") &amp; IF(ABS(GARR_Storage_Diff_acft) &lt; 100, 0, ABS(ROUND(ROUNDDOWN(GARR_Storage_Diff_cfs, -3) - GARR_Storage_Diff_cfs, -2))) &amp; " cfs to evap"</f>
        <v>Subtract 0 cfs to evap</v>
      </c>
      <c r="S8" s="151"/>
      <c r="T8" s="151"/>
      <c r="U8" s="152"/>
      <c r="Z8" s="35"/>
    </row>
    <row r="9" spans="1:34" ht="15" x14ac:dyDescent="0.25">
      <c r="A9" s="30">
        <f>IF(ISBLANK('CWMS Data'!$B11), "", 'CWMS Data'!$B11)</f>
        <v>44046</v>
      </c>
      <c r="B9" s="31">
        <f>IF(ISBLANK('CWMS Data'!$U11), "", 'CWMS Data'!$U11)</f>
        <v>1843.1199999999997</v>
      </c>
      <c r="C9" s="13" t="str">
        <f t="array" ref="C9">IF(AND(B9=MAX(B$7:B$37), C$7:C8&lt;&gt;"+"), "+", IF(AND(B9=MIN(B$7:B$37), C$7:C8&lt;&gt;"-"), "-", ""))</f>
        <v/>
      </c>
      <c r="D9" s="32">
        <f>IF(ISBLANK('CWMS Data'!$M11), "", 'CWMS Data'!$M11)</f>
        <v>0</v>
      </c>
      <c r="E9" s="144">
        <f>IF(ISBLANK('CWMS Data'!$L11), "", 'CWMS Data'!$L11)</f>
        <v>2500.0000000000005</v>
      </c>
      <c r="F9" s="13" t="str">
        <f t="array" ref="F9">IF(AND(E9=MAX(E$7:E$37), F$7:F8&lt;&gt;"+"), "+", IF(AND(E9=MIN(E$7:E$37), F$7:F8&lt;&gt;"-"), "-", ""))</f>
        <v/>
      </c>
      <c r="G9" s="34">
        <f>IF(ISBLANK('CWMS Data'!$N11), "", 'CWMS Data'!$N11)</f>
        <v>28200.000000000004</v>
      </c>
      <c r="H9" s="14" t="str">
        <f t="array" ref="H9">IF(AND(G9=MAX(G$7:G$37), H$7:H8&lt;&gt;"+"), "+", IF(AND(G9=MIN(G$7:G$37), H$7:H8&lt;&gt;"-"), "-", ""))</f>
        <v/>
      </c>
      <c r="I9" s="33">
        <f>IF(ISBLANK('CWMS Data'!$O11), "", 'CWMS Data'!$O11)</f>
        <v>0</v>
      </c>
      <c r="J9" s="14" t="str">
        <f t="array" ref="J9">IF(AND(I9=MAX(I$7:I$37), J$7:J8&lt;&gt;"+"), "+", IF(AND(I9=MIN(I$7:I$37), J$7:J8&lt;&gt;"-"), "-", ""))</f>
        <v/>
      </c>
      <c r="K9" s="119">
        <f t="shared" si="0"/>
        <v>28200.000000000004</v>
      </c>
      <c r="L9" s="14" t="str">
        <f t="array" ref="L9">IF(AND(K9=MAX(K$7:K$37), L$7:L8&lt;&gt;"+"), "+", IF(AND(K9=MIN(K$7:K$37), L$7:L8&lt;&gt;"-"), "-", ""))</f>
        <v/>
      </c>
      <c r="M9" s="77">
        <f>IF(ISBLANK('CWMS Data'!$P11), "", 'CWMS Data'!$P11)</f>
        <v>0</v>
      </c>
      <c r="N9" s="13" t="str">
        <f t="array" ref="N9">IF(AND(M9=MAX(M$7:M$37), N$7:N8&lt;&gt;"+"), "+", IF(AND(M9=MIN(M$7:M$37), N$7:N8&lt;&gt;"-"), "-", ""))</f>
        <v/>
      </c>
      <c r="O9" s="34">
        <f>IF(ISBLANK('CWMS Data'!$R11), "", 'CWMS Data'!$R11)</f>
        <v>16000.000000000002</v>
      </c>
      <c r="P9" s="13" t="str">
        <f t="array" ref="P9">IF(AND(O9=MAX(O$7:O$37), P$7:P8&lt;&gt;"+"), "+", IF(AND(O9=MIN(O$7:O$37), P$7:P8&lt;&gt;"-"), "-", ""))</f>
        <v/>
      </c>
      <c r="Q9" s="35"/>
      <c r="R9" s="158" t="s">
        <v>70</v>
      </c>
      <c r="S9" s="159"/>
      <c r="T9" s="126">
        <f>GARR_Storage_Diff_acft</f>
        <v>74.380164728616364</v>
      </c>
      <c r="U9" s="127" t="s">
        <v>71</v>
      </c>
      <c r="Z9" s="35"/>
    </row>
    <row r="10" spans="1:34" ht="15" x14ac:dyDescent="0.25">
      <c r="A10" s="30">
        <f>IF(ISBLANK('CWMS Data'!$B12), "", 'CWMS Data'!$B12)</f>
        <v>44047</v>
      </c>
      <c r="B10" s="31">
        <f>IF(ISBLANK('CWMS Data'!$U12), "", 'CWMS Data'!$U12)</f>
        <v>1843.19</v>
      </c>
      <c r="C10" s="13" t="str">
        <f t="array" ref="C10">IF(AND(B10=MAX(B$7:B$37), C$7:C9&lt;&gt;"+"), "+", IF(AND(B10=MIN(B$7:B$37), C$7:C9&lt;&gt;"-"), "-", ""))</f>
        <v/>
      </c>
      <c r="D10" s="32">
        <f>IF(ISBLANK('CWMS Data'!$M12), "", 'CWMS Data'!$M12)</f>
        <v>0</v>
      </c>
      <c r="E10" s="144">
        <f>IF(ISBLANK('CWMS Data'!$L12), "", 'CWMS Data'!$L12)</f>
        <v>2500.0000000000005</v>
      </c>
      <c r="F10" s="13" t="str">
        <f t="array" ref="F10">IF(AND(E10=MAX(E$7:E$37), F$7:F9&lt;&gt;"+"), "+", IF(AND(E10=MIN(E$7:E$37), F$7:F9&lt;&gt;"-"), "-", ""))</f>
        <v/>
      </c>
      <c r="G10" s="34">
        <f>IF(ISBLANK('CWMS Data'!$N12), "", 'CWMS Data'!$N12)</f>
        <v>28200.000000000004</v>
      </c>
      <c r="H10" s="14" t="str">
        <f t="array" ref="H10">IF(AND(G10=MAX(G$7:G$37), H$7:H9&lt;&gt;"+"), "+", IF(AND(G10=MIN(G$7:G$37), H$7:H9&lt;&gt;"-"), "-", ""))</f>
        <v/>
      </c>
      <c r="I10" s="33">
        <f>IF(ISBLANK('CWMS Data'!$O12), "", 'CWMS Data'!$O12)</f>
        <v>0</v>
      </c>
      <c r="J10" s="14" t="str">
        <f t="array" ref="J10">IF(AND(I10=MAX(I$7:I$37), J$7:J9&lt;&gt;"+"), "+", IF(AND(I10=MIN(I$7:I$37), J$7:J9&lt;&gt;"-"), "-", ""))</f>
        <v/>
      </c>
      <c r="K10" s="119">
        <f t="shared" si="0"/>
        <v>28200.000000000004</v>
      </c>
      <c r="L10" s="14" t="str">
        <f t="array" ref="L10">IF(AND(K10=MAX(K$7:K$37), L$7:L9&lt;&gt;"+"), "+", IF(AND(K10=MIN(K$7:K$37), L$7:L9&lt;&gt;"-"), "-", ""))</f>
        <v/>
      </c>
      <c r="M10" s="77">
        <f>IF(ISBLANK('CWMS Data'!$P12), "", 'CWMS Data'!$P12)</f>
        <v>0</v>
      </c>
      <c r="N10" s="13" t="str">
        <f t="array" ref="N10">IF(AND(M10=MAX(M$7:M$37), N$7:N9&lt;&gt;"+"), "+", IF(AND(M10=MIN(M$7:M$37), N$7:N9&lt;&gt;"-"), "-", ""))</f>
        <v/>
      </c>
      <c r="O10" s="34">
        <f>IF(ISBLANK('CWMS Data'!$R12), "", 'CWMS Data'!$R12)</f>
        <v>15000.000000000002</v>
      </c>
      <c r="P10" s="13" t="str">
        <f t="array" ref="P10">IF(AND(O10=MAX(O$7:O$37), P$7:P9&lt;&gt;"+"), "+", IF(AND(O10=MIN(O$7:O$37), P$7:P9&lt;&gt;"-"), "-", ""))</f>
        <v/>
      </c>
      <c r="Q10" s="35"/>
      <c r="Z10" s="35"/>
    </row>
    <row r="11" spans="1:34" ht="15" x14ac:dyDescent="0.25">
      <c r="A11" s="36">
        <f>IF(ISBLANK('CWMS Data'!$B13), "", 'CWMS Data'!$B13)</f>
        <v>44048</v>
      </c>
      <c r="B11" s="31">
        <f>IF(ISBLANK('CWMS Data'!$U13), "", 'CWMS Data'!$U13)</f>
        <v>1843.02</v>
      </c>
      <c r="C11" s="13" t="str">
        <f t="array" ref="C11">IF(AND(B11=MAX(B$7:B$37), C$7:C10&lt;&gt;"+"), "+", IF(AND(B11=MIN(B$7:B$37), C$7:C10&lt;&gt;"-"), "-", ""))</f>
        <v/>
      </c>
      <c r="D11" s="32">
        <f>IF(ISBLANK('CWMS Data'!$M13), "", 'CWMS Data'!$M13)</f>
        <v>0</v>
      </c>
      <c r="E11" s="144">
        <f>IF(ISBLANK('CWMS Data'!$L13), "", 'CWMS Data'!$L13)</f>
        <v>2500.0000000000005</v>
      </c>
      <c r="F11" s="13" t="str">
        <f t="array" ref="F11">IF(AND(E11=MAX(E$7:E$37), F$7:F10&lt;&gt;"+"), "+", IF(AND(E11=MIN(E$7:E$37), F$7:F10&lt;&gt;"-"), "-", ""))</f>
        <v/>
      </c>
      <c r="G11" s="34">
        <f>IF(ISBLANK('CWMS Data'!$N13), "", 'CWMS Data'!$N13)</f>
        <v>28200.000000000004</v>
      </c>
      <c r="H11" s="14" t="str">
        <f t="array" ref="H11">IF(AND(G11=MAX(G$7:G$37), H$7:H10&lt;&gt;"+"), "+", IF(AND(G11=MIN(G$7:G$37), H$7:H10&lt;&gt;"-"), "-", ""))</f>
        <v/>
      </c>
      <c r="I11" s="33">
        <f>IF(ISBLANK('CWMS Data'!$O13), "", 'CWMS Data'!$O13)</f>
        <v>0</v>
      </c>
      <c r="J11" s="14" t="str">
        <f t="array" ref="J11">IF(AND(I11=MAX(I$7:I$37), J$7:J10&lt;&gt;"+"), "+", IF(AND(I11=MIN(I$7:I$37), J$7:J10&lt;&gt;"-"), "-", ""))</f>
        <v/>
      </c>
      <c r="K11" s="119">
        <f t="shared" si="0"/>
        <v>28200.000000000004</v>
      </c>
      <c r="L11" s="14" t="str">
        <f t="array" ref="L11">IF(AND(K11=MAX(K$7:K$37), L$7:L10&lt;&gt;"+"), "+", IF(AND(K11=MIN(K$7:K$37), L$7:L10&lt;&gt;"-"), "-", ""))</f>
        <v/>
      </c>
      <c r="M11" s="77">
        <f>IF(ISBLANK('CWMS Data'!$P13), "", 'CWMS Data'!$P13)</f>
        <v>0</v>
      </c>
      <c r="N11" s="13" t="str">
        <f t="array" ref="N11">IF(AND(M11=MAX(M$7:M$37), N$7:N10&lt;&gt;"+"), "+", IF(AND(M11=MIN(M$7:M$37), N$7:N10&lt;&gt;"-"), "-", ""))</f>
        <v/>
      </c>
      <c r="O11" s="34">
        <v>15000</v>
      </c>
      <c r="P11" s="13" t="str">
        <f t="array" ref="P11">IF(AND(O11=MAX(O$7:O$37), P$7:P10&lt;&gt;"+"), "+", IF(AND(O11=MIN(O$7:O$37), P$7:P10&lt;&gt;"-"), "-", ""))</f>
        <v/>
      </c>
      <c r="Q11" s="35"/>
      <c r="S11" s="35"/>
      <c r="W11" s="35"/>
    </row>
    <row r="12" spans="1:34" ht="15" x14ac:dyDescent="0.25">
      <c r="A12" s="30">
        <f>IF(ISBLANK('CWMS Data'!$B14), "", 'CWMS Data'!$B14)</f>
        <v>44049</v>
      </c>
      <c r="B12" s="31">
        <f>IF(ISBLANK('CWMS Data'!$U14), "", 'CWMS Data'!$U14)</f>
        <v>1842.8399999999997</v>
      </c>
      <c r="C12" s="13" t="str">
        <f t="array" ref="C12">IF(AND(B12=MAX(B$7:B$37), C$7:C11&lt;&gt;"+"), "+", IF(AND(B12=MIN(B$7:B$37), C$7:C11&lt;&gt;"-"), "-", ""))</f>
        <v/>
      </c>
      <c r="D12" s="32">
        <f>IF(ISBLANK('CWMS Data'!$M14), "", 'CWMS Data'!$M14)</f>
        <v>0</v>
      </c>
      <c r="E12" s="144">
        <f>IF(ISBLANK('CWMS Data'!$L14), "", 'CWMS Data'!$L14)</f>
        <v>2500.0000000000005</v>
      </c>
      <c r="F12" s="13" t="str">
        <f t="array" ref="F12">IF(AND(E12=MAX(E$7:E$37), F$7:F11&lt;&gt;"+"), "+", IF(AND(E12=MIN(E$7:E$37), F$7:F11&lt;&gt;"-"), "-", ""))</f>
        <v/>
      </c>
      <c r="G12" s="34">
        <f>IF(ISBLANK('CWMS Data'!$N14), "", 'CWMS Data'!$N14)</f>
        <v>28200.000000000004</v>
      </c>
      <c r="H12" s="14" t="str">
        <f t="array" ref="H12">IF(AND(G12=MAX(G$7:G$37), H$7:H11&lt;&gt;"+"), "+", IF(AND(G12=MIN(G$7:G$37), H$7:H11&lt;&gt;"-"), "-", ""))</f>
        <v/>
      </c>
      <c r="I12" s="33">
        <f>IF(ISBLANK('CWMS Data'!$O14), "", 'CWMS Data'!$O14)</f>
        <v>0</v>
      </c>
      <c r="J12" s="14" t="str">
        <f t="array" ref="J12">IF(AND(I12=MAX(I$7:I$37), J$7:J11&lt;&gt;"+"), "+", IF(AND(I12=MIN(I$7:I$37), J$7:J11&lt;&gt;"-"), "-", ""))</f>
        <v/>
      </c>
      <c r="K12" s="119">
        <f t="shared" si="0"/>
        <v>28200.000000000004</v>
      </c>
      <c r="L12" s="14" t="str">
        <f t="array" ref="L12">IF(AND(K12=MAX(K$7:K$37), L$7:L11&lt;&gt;"+"), "+", IF(AND(K12=MIN(K$7:K$37), L$7:L11&lt;&gt;"-"), "-", ""))</f>
        <v/>
      </c>
      <c r="M12" s="77">
        <f>IF(ISBLANK('CWMS Data'!$P14), "", 'CWMS Data'!$P14)</f>
        <v>0</v>
      </c>
      <c r="N12" s="13" t="str">
        <f t="array" ref="N12">IF(AND(M12=MAX(M$7:M$37), N$7:N11&lt;&gt;"+"), "+", IF(AND(M12=MIN(M$7:M$37), N$7:N11&lt;&gt;"-"), "-", ""))</f>
        <v/>
      </c>
      <c r="O12" s="34">
        <v>14000</v>
      </c>
      <c r="P12" s="13" t="str">
        <f t="array" ref="P12">IF(AND(O12=MAX(O$7:O$37), P$7:P11&lt;&gt;"+"), "+", IF(AND(O12=MIN(O$7:O$37), P$7:P11&lt;&gt;"-"), "-", ""))</f>
        <v>-</v>
      </c>
      <c r="Q12" s="35"/>
      <c r="R12" s="35"/>
      <c r="S12" s="35"/>
      <c r="W12" s="35"/>
    </row>
    <row r="13" spans="1:34" ht="15" x14ac:dyDescent="0.25">
      <c r="A13" s="30">
        <f>IF(ISBLANK('CWMS Data'!$B15), "", 'CWMS Data'!$B15)</f>
        <v>44050</v>
      </c>
      <c r="B13" s="31">
        <f>IF(ISBLANK('CWMS Data'!$U15), "", 'CWMS Data'!$U15)</f>
        <v>1842.9099999999999</v>
      </c>
      <c r="C13" s="13" t="str">
        <f t="array" ref="C13">IF(AND(B13=MAX(B$7:B$37), C$7:C12&lt;&gt;"+"), "+", IF(AND(B13=MIN(B$7:B$37), C$7:C12&lt;&gt;"-"), "-", ""))</f>
        <v/>
      </c>
      <c r="D13" s="32">
        <f>IF(ISBLANK('CWMS Data'!$M15), "", 'CWMS Data'!$M15)</f>
        <v>0</v>
      </c>
      <c r="E13" s="144">
        <f>IF(ISBLANK('CWMS Data'!$L15), "", 'CWMS Data'!$L15)</f>
        <v>2500.0000000000005</v>
      </c>
      <c r="F13" s="13" t="str">
        <f t="array" ref="F13">IF(AND(E13=MAX(E$7:E$37), F$7:F12&lt;&gt;"+"), "+", IF(AND(E13=MIN(E$7:E$37), F$7:F12&lt;&gt;"-"), "-", ""))</f>
        <v/>
      </c>
      <c r="G13" s="34">
        <f>IF(ISBLANK('CWMS Data'!$N15), "", 'CWMS Data'!$N15)</f>
        <v>28300</v>
      </c>
      <c r="H13" s="14" t="str">
        <f t="array" ref="H13">IF(AND(G13=MAX(G$7:G$37), H$7:H12&lt;&gt;"+"), "+", IF(AND(G13=MIN(G$7:G$37), H$7:H12&lt;&gt;"-"), "-", ""))</f>
        <v>+</v>
      </c>
      <c r="I13" s="33">
        <f>IF(ISBLANK('CWMS Data'!$O15), "", 'CWMS Data'!$O15)</f>
        <v>0</v>
      </c>
      <c r="J13" s="14" t="str">
        <f t="array" ref="J13">IF(AND(I13=MAX(I$7:I$37), J$7:J12&lt;&gt;"+"), "+", IF(AND(I13=MIN(I$7:I$37), J$7:J12&lt;&gt;"-"), "-", ""))</f>
        <v/>
      </c>
      <c r="K13" s="119">
        <f t="shared" si="0"/>
        <v>28300</v>
      </c>
      <c r="L13" s="14" t="str">
        <f t="array" ref="L13">IF(AND(K13=MAX(K$7:K$37), L$7:L12&lt;&gt;"+"), "+", IF(AND(K13=MIN(K$7:K$37), L$7:L12&lt;&gt;"-"), "-", ""))</f>
        <v>+</v>
      </c>
      <c r="M13" s="77">
        <f>IF(ISBLANK('CWMS Data'!$P15), "", 'CWMS Data'!$P15)</f>
        <v>0</v>
      </c>
      <c r="N13" s="13" t="str">
        <f t="array" ref="N13">IF(AND(M13=MAX(M$7:M$37), N$7:N12&lt;&gt;"+"), "+", IF(AND(M13=MIN(M$7:M$37), N$7:N12&lt;&gt;"-"), "-", ""))</f>
        <v/>
      </c>
      <c r="O13" s="34">
        <f>IF(ISBLANK('CWMS Data'!$R15), "", 'CWMS Data'!$R15)</f>
        <v>14000.000000000002</v>
      </c>
      <c r="P13" s="13" t="str">
        <f t="array" ref="P13">IF(AND(O13=MAX(O$7:O$37), P$7:P12&lt;&gt;"+"), "+", IF(AND(O13=MIN(O$7:O$37), P$7:P12&lt;&gt;"-"), "-", ""))</f>
        <v/>
      </c>
      <c r="Q13" s="35"/>
      <c r="R13" s="35"/>
      <c r="S13" s="35"/>
    </row>
    <row r="14" spans="1:34" ht="15" x14ac:dyDescent="0.25">
      <c r="A14" s="30">
        <f>IF(ISBLANK('CWMS Data'!$B16), "", 'CWMS Data'!$B16)</f>
        <v>44051</v>
      </c>
      <c r="B14" s="31">
        <f>IF(ISBLANK('CWMS Data'!$U16), "", 'CWMS Data'!$U16)</f>
        <v>1842.6899999999998</v>
      </c>
      <c r="C14" s="13" t="str">
        <f t="array" ref="C14">IF(AND(B14=MAX(B$7:B$37), C$7:C13&lt;&gt;"+"), "+", IF(AND(B14=MIN(B$7:B$37), C$7:C13&lt;&gt;"-"), "-", ""))</f>
        <v/>
      </c>
      <c r="D14" s="32">
        <f>IF(ISBLANK('CWMS Data'!$M16), "", 'CWMS Data'!$M16)</f>
        <v>0</v>
      </c>
      <c r="E14" s="142">
        <f>IF(ISBLANK('CWMS Data'!$L16), "", 'CWMS Data'!$L16)</f>
        <v>2500.0000000000005</v>
      </c>
      <c r="F14" s="13" t="str">
        <f t="array" ref="F14">IF(AND(E14=MAX(E$7:E$37), F$7:F13&lt;&gt;"+"), "+", IF(AND(E14=MIN(E$7:E$37), F$7:F13&lt;&gt;"-"), "-", ""))</f>
        <v/>
      </c>
      <c r="G14" s="34">
        <f>IF(ISBLANK('CWMS Data'!$N16), "", 'CWMS Data'!$N16)</f>
        <v>28200.000000000004</v>
      </c>
      <c r="H14" s="14" t="str">
        <f t="array" ref="H14">IF(AND(G14=MAX(G$7:G$37), H$7:H13&lt;&gt;"+"), "+", IF(AND(G14=MIN(G$7:G$37), H$7:H13&lt;&gt;"-"), "-", ""))</f>
        <v/>
      </c>
      <c r="I14" s="33">
        <f>IF(ISBLANK('CWMS Data'!$O16), "", 'CWMS Data'!$O16)</f>
        <v>0</v>
      </c>
      <c r="J14" s="14" t="str">
        <f t="array" ref="J14">IF(AND(I14=MAX(I$7:I$37), J$7:J13&lt;&gt;"+"), "+", IF(AND(I14=MIN(I$7:I$37), J$7:J13&lt;&gt;"-"), "-", ""))</f>
        <v/>
      </c>
      <c r="K14" s="119">
        <f t="shared" si="0"/>
        <v>28200.000000000004</v>
      </c>
      <c r="L14" s="14" t="str">
        <f t="array" ref="L14">IF(AND(K14=MAX(K$7:K$37), L$7:L13&lt;&gt;"+"), "+", IF(AND(K14=MIN(K$7:K$37), L$7:L13&lt;&gt;"-"), "-", ""))</f>
        <v/>
      </c>
      <c r="M14" s="77">
        <f>IF(ISBLANK('CWMS Data'!$P16), "", 'CWMS Data'!$P16)</f>
        <v>0</v>
      </c>
      <c r="N14" s="13" t="str">
        <f t="array" ref="N14">IF(AND(M14=MAX(M$7:M$37), N$7:N13&lt;&gt;"+"), "+", IF(AND(M14=MIN(M$7:M$37), N$7:N13&lt;&gt;"-"), "-", ""))</f>
        <v/>
      </c>
      <c r="O14" s="34">
        <f>IF(ISBLANK('CWMS Data'!$R16), "", 'CWMS Data'!$R16)</f>
        <v>14000.000000000002</v>
      </c>
      <c r="P14" s="13" t="str">
        <f t="array" ref="P14">IF(AND(O14=MAX(O$7:O$37), P$7:P13&lt;&gt;"+"), "+", IF(AND(O14=MIN(O$7:O$37), P$7:P13&lt;&gt;"-"), "-", ""))</f>
        <v/>
      </c>
      <c r="Q14" s="35"/>
      <c r="R14" s="35"/>
      <c r="S14" s="35"/>
    </row>
    <row r="15" spans="1:34" ht="15" x14ac:dyDescent="0.25">
      <c r="A15" s="30">
        <f>IF(ISBLANK('CWMS Data'!$B17), "", 'CWMS Data'!$B17)</f>
        <v>44052</v>
      </c>
      <c r="B15" s="31">
        <f>IF(ISBLANK('CWMS Data'!$U17), "", 'CWMS Data'!$U17)</f>
        <v>1842.7099999999998</v>
      </c>
      <c r="C15" s="13" t="str">
        <f t="array" ref="C15">IF(AND(B15=MAX(B$7:B$37), C$7:C14&lt;&gt;"+"), "+", IF(AND(B15=MIN(B$7:B$37), C$7:C14&lt;&gt;"-"), "-", ""))</f>
        <v/>
      </c>
      <c r="D15" s="32">
        <f>IF(ISBLANK('CWMS Data'!$M17), "", 'CWMS Data'!$M17)</f>
        <v>0</v>
      </c>
      <c r="E15" s="142">
        <f>IF(ISBLANK('CWMS Data'!$L17), "", 'CWMS Data'!$L17)</f>
        <v>2500.0000000000005</v>
      </c>
      <c r="F15" s="13" t="str">
        <f t="array" ref="F15">IF(AND(E15=MAX(E$7:E$37), F$7:F14&lt;&gt;"+"), "+", IF(AND(E15=MIN(E$7:E$37), F$7:F14&lt;&gt;"-"), "-", ""))</f>
        <v/>
      </c>
      <c r="G15" s="34">
        <f>IF(ISBLANK('CWMS Data'!$N17), "", 'CWMS Data'!$N17)</f>
        <v>26500</v>
      </c>
      <c r="H15" s="14" t="str">
        <f t="array" ref="H15">IF(AND(G15=MAX(G$7:G$37), H$7:H14&lt;&gt;"+"), "+", IF(AND(G15=MIN(G$7:G$37), H$7:H14&lt;&gt;"-"), "-", ""))</f>
        <v/>
      </c>
      <c r="I15" s="33">
        <f>IF(ISBLANK('CWMS Data'!$O17), "", 'CWMS Data'!$O17)</f>
        <v>0</v>
      </c>
      <c r="J15" s="14" t="str">
        <f t="array" ref="J15">IF(AND(I15=MAX(I$7:I$37), J$7:J14&lt;&gt;"+"), "+", IF(AND(I15=MIN(I$7:I$37), J$7:J14&lt;&gt;"-"), "-", ""))</f>
        <v/>
      </c>
      <c r="K15" s="119">
        <f t="shared" si="0"/>
        <v>26500</v>
      </c>
      <c r="L15" s="14" t="str">
        <f t="array" ref="L15">IF(AND(K15=MAX(K$7:K$37), L$7:L14&lt;&gt;"+"), "+", IF(AND(K15=MIN(K$7:K$37), L$7:L14&lt;&gt;"-"), "-", ""))</f>
        <v/>
      </c>
      <c r="M15" s="77">
        <f>IF(ISBLANK('CWMS Data'!$P17), "", 'CWMS Data'!$P17)</f>
        <v>0</v>
      </c>
      <c r="N15" s="13" t="str">
        <f t="array" ref="N15">IF(AND(M15=MAX(M$7:M$37), N$7:N14&lt;&gt;"+"), "+", IF(AND(M15=MIN(M$7:M$37), N$7:N14&lt;&gt;"-"), "-", ""))</f>
        <v/>
      </c>
      <c r="O15" s="34">
        <f>IF(ISBLANK('CWMS Data'!$R17), "", 'CWMS Data'!$R17)</f>
        <v>15000.000000000002</v>
      </c>
      <c r="P15" s="13" t="str">
        <f t="array" ref="P15">IF(AND(O15=MAX(O$7:O$37), P$7:P14&lt;&gt;"+"), "+", IF(AND(O15=MIN(O$7:O$37), P$7:P14&lt;&gt;"-"), "-", ""))</f>
        <v/>
      </c>
      <c r="Q15" s="35"/>
      <c r="R15" s="35"/>
      <c r="S15" s="35"/>
    </row>
    <row r="16" spans="1:34" ht="15" x14ac:dyDescent="0.25">
      <c r="A16" s="36">
        <f>IF(ISBLANK('CWMS Data'!$B18), "", 'CWMS Data'!$B18)</f>
        <v>44053</v>
      </c>
      <c r="B16" s="31">
        <f>IF(ISBLANK('CWMS Data'!$U18), "", 'CWMS Data'!$U18)</f>
        <v>1842.5799999999997</v>
      </c>
      <c r="C16" s="13" t="str">
        <f t="array" ref="C16">IF(AND(B16=MAX(B$7:B$37), C$7:C15&lt;&gt;"+"), "+", IF(AND(B16=MIN(B$7:B$37), C$7:C15&lt;&gt;"-"), "-", ""))</f>
        <v/>
      </c>
      <c r="D16" s="32">
        <f>IF(ISBLANK('CWMS Data'!$M18), "", 'CWMS Data'!$M18)</f>
        <v>0</v>
      </c>
      <c r="E16" s="142">
        <f>IF(ISBLANK('CWMS Data'!$L18), "", 'CWMS Data'!$L18)</f>
        <v>2500.0000000000005</v>
      </c>
      <c r="F16" s="13" t="str">
        <f t="array" ref="F16">IF(AND(E16=MAX(E$7:E$37), F$7:F15&lt;&gt;"+"), "+", IF(AND(E16=MIN(E$7:E$37), F$7:F15&lt;&gt;"-"), "-", ""))</f>
        <v/>
      </c>
      <c r="G16" s="34">
        <f>IF(ISBLANK('CWMS Data'!$N18), "", 'CWMS Data'!$N18)</f>
        <v>27100.000000000004</v>
      </c>
      <c r="H16" s="14" t="str">
        <f t="array" ref="H16">IF(AND(G16=MAX(G$7:G$37), H$7:H15&lt;&gt;"+"), "+", IF(AND(G16=MIN(G$7:G$37), H$7:H15&lt;&gt;"-"), "-", ""))</f>
        <v/>
      </c>
      <c r="I16" s="33">
        <f>IF(ISBLANK('CWMS Data'!$O18), "", 'CWMS Data'!$O18)</f>
        <v>0</v>
      </c>
      <c r="J16" s="14" t="str">
        <f t="array" ref="J16">IF(AND(I16=MAX(I$7:I$37), J$7:J15&lt;&gt;"+"), "+", IF(AND(I16=MIN(I$7:I$37), J$7:J15&lt;&gt;"-"), "-", ""))</f>
        <v/>
      </c>
      <c r="K16" s="119">
        <f t="shared" si="0"/>
        <v>27100.000000000004</v>
      </c>
      <c r="L16" s="14" t="str">
        <f t="array" ref="L16">IF(AND(K16=MAX(K$7:K$37), L$7:L15&lt;&gt;"+"), "+", IF(AND(K16=MIN(K$7:K$37), L$7:L15&lt;&gt;"-"), "-", ""))</f>
        <v/>
      </c>
      <c r="M16" s="77">
        <f>IF(ISBLANK('CWMS Data'!$P18), "", 'CWMS Data'!$P18)</f>
        <v>0</v>
      </c>
      <c r="N16" s="13" t="str">
        <f t="array" ref="N16">IF(AND(M16=MAX(M$7:M$37), N$7:N15&lt;&gt;"+"), "+", IF(AND(M16=MIN(M$7:M$37), N$7:N15&lt;&gt;"-"), "-", ""))</f>
        <v/>
      </c>
      <c r="O16" s="34">
        <f>IF(ISBLANK('CWMS Data'!$R18), "", 'CWMS Data'!$R18)</f>
        <v>15000.000000000002</v>
      </c>
      <c r="P16" s="13" t="str">
        <f t="array" ref="P16">IF(AND(O16=MAX(O$7:O$37), P$7:P15&lt;&gt;"+"), "+", IF(AND(O16=MIN(O$7:O$37), P$7:P15&lt;&gt;"-"), "-", ""))</f>
        <v/>
      </c>
      <c r="Q16" s="35"/>
      <c r="R16" s="35"/>
      <c r="S16" s="35"/>
    </row>
    <row r="17" spans="1:19" ht="15" x14ac:dyDescent="0.25">
      <c r="A17" s="30">
        <f>IF(ISBLANK('CWMS Data'!$B19), "", 'CWMS Data'!$B19)</f>
        <v>44054</v>
      </c>
      <c r="B17" s="31">
        <f>IF(ISBLANK('CWMS Data'!$U19), "", 'CWMS Data'!$U19)</f>
        <v>1841.8699999999997</v>
      </c>
      <c r="C17" s="13" t="str">
        <f t="array" ref="C17">IF(AND(B17=MAX(B$7:B$37), C$7:C16&lt;&gt;"+"), "+", IF(AND(B17=MIN(B$7:B$37), C$7:C16&lt;&gt;"-"), "-", ""))</f>
        <v/>
      </c>
      <c r="D17" s="32">
        <f>IF(ISBLANK('CWMS Data'!$M19), "", 'CWMS Data'!$M19)</f>
        <v>0</v>
      </c>
      <c r="E17" s="33">
        <f>IF(ISBLANK('CWMS Data'!$L19), "", 'CWMS Data'!$L19)</f>
        <v>2400</v>
      </c>
      <c r="F17" s="13" t="str">
        <f t="array" ref="F17">IF(AND(E17=MAX(E$7:E$37), F$7:F16&lt;&gt;"+"), "+", IF(AND(E17=MIN(E$7:E$37), F$7:F16&lt;&gt;"-"), "-", ""))</f>
        <v>-</v>
      </c>
      <c r="G17" s="34">
        <f>IF(ISBLANK('CWMS Data'!$N19), "", 'CWMS Data'!$N19)</f>
        <v>26400.000000000004</v>
      </c>
      <c r="H17" s="14" t="str">
        <f t="array" ref="H17">IF(AND(G17=MAX(G$7:G$37), H$7:H16&lt;&gt;"+"), "+", IF(AND(G17=MIN(G$7:G$37), H$7:H16&lt;&gt;"-"), "-", ""))</f>
        <v/>
      </c>
      <c r="I17" s="33">
        <f>IF(ISBLANK('CWMS Data'!$O19), "", 'CWMS Data'!$O19)</f>
        <v>0</v>
      </c>
      <c r="J17" s="14" t="str">
        <f t="array" ref="J17">IF(AND(I17=MAX(I$7:I$37), J$7:J16&lt;&gt;"+"), "+", IF(AND(I17=MIN(I$7:I$37), J$7:J16&lt;&gt;"-"), "-", ""))</f>
        <v/>
      </c>
      <c r="K17" s="119">
        <f t="shared" si="0"/>
        <v>26400.000000000004</v>
      </c>
      <c r="L17" s="14" t="str">
        <f t="array" ref="L17">IF(AND(K17=MAX(K$7:K$37), L$7:L16&lt;&gt;"+"), "+", IF(AND(K17=MIN(K$7:K$37), L$7:L16&lt;&gt;"-"), "-", ""))</f>
        <v/>
      </c>
      <c r="M17" s="77">
        <f>IF(ISBLANK('CWMS Data'!$P19), "", 'CWMS Data'!$P19)</f>
        <v>0</v>
      </c>
      <c r="N17" s="13" t="str">
        <f t="array" ref="N17">IF(AND(M17=MAX(M$7:M$37), N$7:N16&lt;&gt;"+"), "+", IF(AND(M17=MIN(M$7:M$37), N$7:N16&lt;&gt;"-"), "-", ""))</f>
        <v/>
      </c>
      <c r="O17" s="34">
        <f>IF(ISBLANK('CWMS Data'!$R19), "", 'CWMS Data'!$R19)</f>
        <v>15000.000000000002</v>
      </c>
      <c r="P17" s="13" t="str">
        <f t="array" ref="P17">IF(AND(O17=MAX(O$7:O$37), P$7:P16&lt;&gt;"+"), "+", IF(AND(O17=MIN(O$7:O$37), P$7:P16&lt;&gt;"-"), "-", ""))</f>
        <v/>
      </c>
      <c r="Q17" s="35"/>
      <c r="R17" s="35"/>
      <c r="S17" s="35"/>
    </row>
    <row r="18" spans="1:19" ht="15" x14ac:dyDescent="0.25">
      <c r="A18" s="30">
        <f>IF(ISBLANK('CWMS Data'!$B20), "", 'CWMS Data'!$B20)</f>
        <v>44055</v>
      </c>
      <c r="B18" s="31">
        <f>IF(ISBLANK('CWMS Data'!$U20), "", 'CWMS Data'!$U20)</f>
        <v>1842.3199999999997</v>
      </c>
      <c r="C18" s="13" t="str">
        <f t="array" ref="C18">IF(AND(B18=MAX(B$7:B$37), C$7:C17&lt;&gt;"+"), "+", IF(AND(B18=MIN(B$7:B$37), C$7:C17&lt;&gt;"-"), "-", ""))</f>
        <v/>
      </c>
      <c r="D18" s="32">
        <f>IF(ISBLANK('CWMS Data'!$M20), "", 'CWMS Data'!$M20)</f>
        <v>0</v>
      </c>
      <c r="E18" s="33">
        <v>2400</v>
      </c>
      <c r="F18" s="13" t="str">
        <f t="array" ref="F18">IF(AND(E18=MAX(E$7:E$37), F$7:F17&lt;&gt;"+"), "+", IF(AND(E18=MIN(E$7:E$37), F$7:F17&lt;&gt;"-"), "-", ""))</f>
        <v/>
      </c>
      <c r="G18" s="34">
        <f>IF(ISBLANK('CWMS Data'!$N20), "", 'CWMS Data'!$N20)</f>
        <v>27100.000000000004</v>
      </c>
      <c r="H18" s="14" t="str">
        <f t="array" ref="H18">IF(AND(G18=MAX(G$7:G$37), H$7:H17&lt;&gt;"+"), "+", IF(AND(G18=MIN(G$7:G$37), H$7:H17&lt;&gt;"-"), "-", ""))</f>
        <v/>
      </c>
      <c r="I18" s="33">
        <f>IF(ISBLANK('CWMS Data'!$O20), "", 'CWMS Data'!$O20)</f>
        <v>0</v>
      </c>
      <c r="J18" s="14" t="str">
        <f t="array" ref="J18">IF(AND(I18=MAX(I$7:I$37), J$7:J17&lt;&gt;"+"), "+", IF(AND(I18=MIN(I$7:I$37), J$7:J17&lt;&gt;"-"), "-", ""))</f>
        <v/>
      </c>
      <c r="K18" s="119">
        <f t="shared" si="0"/>
        <v>27100.000000000004</v>
      </c>
      <c r="L18" s="14" t="str">
        <f t="array" ref="L18">IF(AND(K18=MAX(K$7:K$37), L$7:L17&lt;&gt;"+"), "+", IF(AND(K18=MIN(K$7:K$37), L$7:L17&lt;&gt;"-"), "-", ""))</f>
        <v/>
      </c>
      <c r="M18" s="77">
        <f>IF(ISBLANK('CWMS Data'!$P20), "", 'CWMS Data'!$P20)</f>
        <v>0</v>
      </c>
      <c r="N18" s="13" t="str">
        <f t="array" ref="N18">IF(AND(M18=MAX(M$7:M$37), N$7:N17&lt;&gt;"+"), "+", IF(AND(M18=MIN(M$7:M$37), N$7:N17&lt;&gt;"-"), "-", ""))</f>
        <v/>
      </c>
      <c r="O18" s="34">
        <f>IF(ISBLANK('CWMS Data'!$R20), "", 'CWMS Data'!$R20)</f>
        <v>15000.000000000002</v>
      </c>
      <c r="P18" s="13" t="str">
        <f t="array" ref="P18">IF(AND(O18=MAX(O$7:O$37), P$7:P17&lt;&gt;"+"), "+", IF(AND(O18=MIN(O$7:O$37), P$7:P17&lt;&gt;"-"), "-", ""))</f>
        <v/>
      </c>
      <c r="Q18" s="35"/>
      <c r="R18" s="35"/>
      <c r="S18" s="35"/>
    </row>
    <row r="19" spans="1:19" ht="15" x14ac:dyDescent="0.25">
      <c r="A19" s="30">
        <f>IF(ISBLANK('CWMS Data'!$B21), "", 'CWMS Data'!$B21)</f>
        <v>44056</v>
      </c>
      <c r="B19" s="31">
        <f>IF(ISBLANK('CWMS Data'!$U21), "", 'CWMS Data'!$U21)</f>
        <v>1842.3499999999997</v>
      </c>
      <c r="C19" s="13" t="str">
        <f t="array" ref="C19">IF(AND(B19=MAX(B$7:B$37), C$7:C18&lt;&gt;"+"), "+", IF(AND(B19=MIN(B$7:B$37), C$7:C18&lt;&gt;"-"), "-", ""))</f>
        <v/>
      </c>
      <c r="D19" s="32">
        <f>IF(ISBLANK('CWMS Data'!$M21), "", 'CWMS Data'!$M21)</f>
        <v>0</v>
      </c>
      <c r="E19" s="33">
        <v>2400</v>
      </c>
      <c r="F19" s="13" t="str">
        <f t="array" ref="F19">IF(AND(E19=MAX(E$7:E$37), F$7:F18&lt;&gt;"+"), "+", IF(AND(E19=MIN(E$7:E$37), F$7:F18&lt;&gt;"-"), "-", ""))</f>
        <v/>
      </c>
      <c r="G19" s="34">
        <f>IF(ISBLANK('CWMS Data'!$N21), "", 'CWMS Data'!$N21)</f>
        <v>27400</v>
      </c>
      <c r="H19" s="14" t="str">
        <f t="array" ref="H19">IF(AND(G19=MAX(G$7:G$37), H$7:H18&lt;&gt;"+"), "+", IF(AND(G19=MIN(G$7:G$37), H$7:H18&lt;&gt;"-"), "-", ""))</f>
        <v/>
      </c>
      <c r="I19" s="33">
        <f>IF(ISBLANK('CWMS Data'!$O21), "", 'CWMS Data'!$O21)</f>
        <v>0</v>
      </c>
      <c r="J19" s="14" t="str">
        <f t="array" ref="J19">IF(AND(I19=MAX(I$7:I$37), J$7:J18&lt;&gt;"+"), "+", IF(AND(I19=MIN(I$7:I$37), J$7:J18&lt;&gt;"-"), "-", ""))</f>
        <v/>
      </c>
      <c r="K19" s="119">
        <f t="shared" si="0"/>
        <v>27400</v>
      </c>
      <c r="L19" s="14" t="str">
        <f t="array" ref="L19">IF(AND(K19=MAX(K$7:K$37), L$7:L18&lt;&gt;"+"), "+", IF(AND(K19=MIN(K$7:K$37), L$7:L18&lt;&gt;"-"), "-", ""))</f>
        <v/>
      </c>
      <c r="M19" s="77">
        <f>IF(ISBLANK('CWMS Data'!$P21), "", 'CWMS Data'!$P21)</f>
        <v>400.00000011300699</v>
      </c>
      <c r="N19" s="13" t="str">
        <f t="array" ref="N19">IF(AND(M19=MAX(M$7:M$37), N$7:N18&lt;&gt;"+"), "+", IF(AND(M19=MIN(M$7:M$37), N$7:N18&lt;&gt;"-"), "-", ""))</f>
        <v>+</v>
      </c>
      <c r="O19" s="34">
        <f>IF(ISBLANK('CWMS Data'!$R21), "", 'CWMS Data'!$R21)</f>
        <v>15000.000000000002</v>
      </c>
      <c r="P19" s="13" t="str">
        <f t="array" ref="P19">IF(AND(O19=MAX(O$7:O$37), P$7:P18&lt;&gt;"+"), "+", IF(AND(O19=MIN(O$7:O$37), P$7:P18&lt;&gt;"-"), "-", ""))</f>
        <v/>
      </c>
      <c r="Q19" s="35"/>
      <c r="R19" s="35"/>
      <c r="S19" s="35"/>
    </row>
    <row r="20" spans="1:19" ht="15" x14ac:dyDescent="0.25">
      <c r="A20" s="30">
        <f>IF(ISBLANK('CWMS Data'!$B22), "", 'CWMS Data'!$B22)</f>
        <v>44057</v>
      </c>
      <c r="B20" s="31">
        <f>IF(ISBLANK('CWMS Data'!$U22), "", 'CWMS Data'!$U22)</f>
        <v>1842.2899999999997</v>
      </c>
      <c r="C20" s="13" t="str">
        <f t="array" ref="C20">IF(AND(B20=MAX(B$7:B$37), C$7:C19&lt;&gt;"+"), "+", IF(AND(B20=MIN(B$7:B$37), C$7:C19&lt;&gt;"-"), "-", ""))</f>
        <v/>
      </c>
      <c r="D20" s="32">
        <f>IF(ISBLANK('CWMS Data'!$M22), "", 'CWMS Data'!$M22)</f>
        <v>0</v>
      </c>
      <c r="E20" s="33">
        <v>2400</v>
      </c>
      <c r="F20" s="13" t="str">
        <f t="array" ref="F20">IF(AND(E20=MAX(E$7:E$37), F$7:F19&lt;&gt;"+"), "+", IF(AND(E20=MIN(E$7:E$37), F$7:F19&lt;&gt;"-"), "-", ""))</f>
        <v/>
      </c>
      <c r="G20" s="34">
        <f>IF(ISBLANK('CWMS Data'!$N22), "", 'CWMS Data'!$N22)</f>
        <v>26700</v>
      </c>
      <c r="H20" s="14" t="str">
        <f t="array" ref="H20">IF(AND(G20=MAX(G$7:G$37), H$7:H19&lt;&gt;"+"), "+", IF(AND(G20=MIN(G$7:G$37), H$7:H19&lt;&gt;"-"), "-", ""))</f>
        <v/>
      </c>
      <c r="I20" s="33">
        <f>IF(ISBLANK('CWMS Data'!$O22), "", 'CWMS Data'!$O22)</f>
        <v>0</v>
      </c>
      <c r="J20" s="14" t="str">
        <f t="array" ref="J20">IF(AND(I20=MAX(I$7:I$37), J$7:J19&lt;&gt;"+"), "+", IF(AND(I20=MIN(I$7:I$37), J$7:J19&lt;&gt;"-"), "-", ""))</f>
        <v/>
      </c>
      <c r="K20" s="119">
        <f t="shared" si="0"/>
        <v>26700</v>
      </c>
      <c r="L20" s="14" t="str">
        <f t="array" ref="L20">IF(AND(K20=MAX(K$7:K$37), L$7:L19&lt;&gt;"+"), "+", IF(AND(K20=MIN(K$7:K$37), L$7:L19&lt;&gt;"-"), "-", ""))</f>
        <v/>
      </c>
      <c r="M20" s="77">
        <f>IF(ISBLANK('CWMS Data'!$P22), "", 'CWMS Data'!$P22)</f>
        <v>0</v>
      </c>
      <c r="N20" s="13" t="str">
        <f t="array" ref="N20">IF(AND(M20=MAX(M$7:M$37), N$7:N19&lt;&gt;"+"), "+", IF(AND(M20=MIN(M$7:M$37), N$7:N19&lt;&gt;"-"), "-", ""))</f>
        <v/>
      </c>
      <c r="O20" s="34">
        <f>IF(ISBLANK('CWMS Data'!$R22), "", 'CWMS Data'!$R22)</f>
        <v>15000.000000000002</v>
      </c>
      <c r="P20" s="13" t="str">
        <f t="array" ref="P20">IF(AND(O20=MAX(O$7:O$37), P$7:P19&lt;&gt;"+"), "+", IF(AND(O20=MIN(O$7:O$37), P$7:P19&lt;&gt;"-"), "-", ""))</f>
        <v/>
      </c>
      <c r="Q20" s="35"/>
      <c r="R20" s="35"/>
      <c r="S20" s="35"/>
    </row>
    <row r="21" spans="1:19" ht="15" x14ac:dyDescent="0.25">
      <c r="A21" s="36">
        <f>IF(ISBLANK('CWMS Data'!$B23), "", 'CWMS Data'!$B23)</f>
        <v>44058</v>
      </c>
      <c r="B21" s="31">
        <f>IF(ISBLANK('CWMS Data'!$U23), "", 'CWMS Data'!$U23)</f>
        <v>1842.2599999999998</v>
      </c>
      <c r="C21" s="13" t="str">
        <f t="array" ref="C21">IF(AND(B21=MAX(B$7:B$37), C$7:C20&lt;&gt;"+"), "+", IF(AND(B21=MIN(B$7:B$37), C$7:C20&lt;&gt;"-"), "-", ""))</f>
        <v/>
      </c>
      <c r="D21" s="32">
        <f>IF(ISBLANK('CWMS Data'!$M23), "", 'CWMS Data'!$M23)</f>
        <v>0</v>
      </c>
      <c r="E21" s="33">
        <f>IF(ISBLANK('CWMS Data'!$L23), "", 'CWMS Data'!$L23)</f>
        <v>2500.0000000000005</v>
      </c>
      <c r="F21" s="13" t="str">
        <f t="array" ref="F21">IF(AND(E21=MAX(E$7:E$37), F$7:F20&lt;&gt;"+"), "+", IF(AND(E21=MIN(E$7:E$37), F$7:F20&lt;&gt;"-"), "-", ""))</f>
        <v/>
      </c>
      <c r="G21" s="34">
        <f>IF(ISBLANK('CWMS Data'!$N23), "", 'CWMS Data'!$N23)</f>
        <v>26700</v>
      </c>
      <c r="H21" s="14" t="str">
        <f t="array" ref="H21">IF(AND(G21=MAX(G$7:G$37), H$7:H20&lt;&gt;"+"), "+", IF(AND(G21=MIN(G$7:G$37), H$7:H20&lt;&gt;"-"), "-", ""))</f>
        <v/>
      </c>
      <c r="I21" s="33">
        <f>IF(ISBLANK('CWMS Data'!$O23), "", 'CWMS Data'!$O23)</f>
        <v>0</v>
      </c>
      <c r="J21" s="14" t="str">
        <f t="array" ref="J21">IF(AND(I21=MAX(I$7:I$37), J$7:J20&lt;&gt;"+"), "+", IF(AND(I21=MIN(I$7:I$37), J$7:J20&lt;&gt;"-"), "-", ""))</f>
        <v/>
      </c>
      <c r="K21" s="119">
        <f t="shared" si="0"/>
        <v>26700</v>
      </c>
      <c r="L21" s="14" t="str">
        <f t="array" ref="L21">IF(AND(K21=MAX(K$7:K$37), L$7:L20&lt;&gt;"+"), "+", IF(AND(K21=MIN(K$7:K$37), L$7:L20&lt;&gt;"-"), "-", ""))</f>
        <v/>
      </c>
      <c r="M21" s="77">
        <f>IF(ISBLANK('CWMS Data'!$P23), "", 'CWMS Data'!$P23)</f>
        <v>0</v>
      </c>
      <c r="N21" s="13" t="str">
        <f t="array" ref="N21">IF(AND(M21=MAX(M$7:M$37), N$7:N20&lt;&gt;"+"), "+", IF(AND(M21=MIN(M$7:M$37), N$7:N20&lt;&gt;"-"), "-", ""))</f>
        <v/>
      </c>
      <c r="O21" s="34">
        <f>IF(ISBLANK('CWMS Data'!$R23), "", 'CWMS Data'!$R23)</f>
        <v>15000.000000000002</v>
      </c>
      <c r="P21" s="13" t="str">
        <f t="array" ref="P21">IF(AND(O21=MAX(O$7:O$37), P$7:P20&lt;&gt;"+"), "+", IF(AND(O21=MIN(O$7:O$37), P$7:P20&lt;&gt;"-"), "-", ""))</f>
        <v/>
      </c>
      <c r="Q21" s="35"/>
      <c r="R21" s="35"/>
      <c r="S21" s="35"/>
    </row>
    <row r="22" spans="1:19" ht="15" x14ac:dyDescent="0.25">
      <c r="A22" s="30">
        <f>IF(ISBLANK('CWMS Data'!$B24), "", 'CWMS Data'!$B24)</f>
        <v>44059</v>
      </c>
      <c r="B22" s="31">
        <f>IF(ISBLANK('CWMS Data'!$U24), "", 'CWMS Data'!$U24)</f>
        <v>1842.05</v>
      </c>
      <c r="C22" s="13" t="str">
        <f t="array" ref="C22">IF(AND(B22=MAX(B$7:B$37), C$7:C21&lt;&gt;"+"), "+", IF(AND(B22=MIN(B$7:B$37), C$7:C21&lt;&gt;"-"), "-", ""))</f>
        <v/>
      </c>
      <c r="D22" s="32">
        <f>IF(ISBLANK('CWMS Data'!$M24), "", 'CWMS Data'!$M24)</f>
        <v>0</v>
      </c>
      <c r="E22" s="33">
        <f>IF(ISBLANK('CWMS Data'!$L24), "", 'CWMS Data'!$L24)</f>
        <v>2400</v>
      </c>
      <c r="F22" s="13" t="str">
        <f t="array" ref="F22">IF(AND(E22=MAX(E$7:E$37), F$7:F21&lt;&gt;"+"), "+", IF(AND(E22=MIN(E$7:E$37), F$7:F21&lt;&gt;"-"), "-", ""))</f>
        <v/>
      </c>
      <c r="G22" s="34">
        <f>IF(ISBLANK('CWMS Data'!$N24), "", 'CWMS Data'!$N24)</f>
        <v>25900.000000000004</v>
      </c>
      <c r="H22" s="14" t="str">
        <f t="array" ref="H22">IF(AND(G22=MAX(G$7:G$37), H$7:H21&lt;&gt;"+"), "+", IF(AND(G22=MIN(G$7:G$37), H$7:H21&lt;&gt;"-"), "-", ""))</f>
        <v/>
      </c>
      <c r="I22" s="33">
        <f>IF(ISBLANK('CWMS Data'!$O24), "", 'CWMS Data'!$O24)</f>
        <v>0</v>
      </c>
      <c r="J22" s="14" t="str">
        <f t="array" ref="J22">IF(AND(I22=MAX(I$7:I$37), J$7:J21&lt;&gt;"+"), "+", IF(AND(I22=MIN(I$7:I$37), J$7:J21&lt;&gt;"-"), "-", ""))</f>
        <v/>
      </c>
      <c r="K22" s="119">
        <f t="shared" si="0"/>
        <v>25900.000000000004</v>
      </c>
      <c r="L22" s="14" t="str">
        <f t="array" ref="L22">IF(AND(K22=MAX(K$7:K$37), L$7:L21&lt;&gt;"+"), "+", IF(AND(K22=MIN(K$7:K$37), L$7:L21&lt;&gt;"-"), "-", ""))</f>
        <v/>
      </c>
      <c r="M22" s="77">
        <f>IF(ISBLANK('CWMS Data'!$P24), "", 'CWMS Data'!$P24)</f>
        <v>0</v>
      </c>
      <c r="N22" s="13" t="str">
        <f t="array" ref="N22">IF(AND(M22=MAX(M$7:M$37), N$7:N21&lt;&gt;"+"), "+", IF(AND(M22=MIN(M$7:M$37), N$7:N21&lt;&gt;"-"), "-", ""))</f>
        <v/>
      </c>
      <c r="O22" s="34">
        <v>15000</v>
      </c>
      <c r="P22" s="13" t="str">
        <f t="array" ref="P22">IF(AND(O22=MAX(O$7:O$37), P$7:P21&lt;&gt;"+"), "+", IF(AND(O22=MIN(O$7:O$37), P$7:P21&lt;&gt;"-"), "-", ""))</f>
        <v/>
      </c>
      <c r="Q22" s="35"/>
      <c r="R22" s="35"/>
      <c r="S22" s="35"/>
    </row>
    <row r="23" spans="1:19" ht="15" x14ac:dyDescent="0.25">
      <c r="A23" s="30">
        <f>IF(ISBLANK('CWMS Data'!$B25), "", 'CWMS Data'!$B25)</f>
        <v>44060</v>
      </c>
      <c r="B23" s="31">
        <f>IF(ISBLANK('CWMS Data'!$U25), "", 'CWMS Data'!$U25)</f>
        <v>1841.9399999999998</v>
      </c>
      <c r="C23" s="13" t="str">
        <f t="array" ref="C23">IF(AND(B23=MAX(B$7:B$37), C$7:C22&lt;&gt;"+"), "+", IF(AND(B23=MIN(B$7:B$37), C$7:C22&lt;&gt;"-"), "-", ""))</f>
        <v/>
      </c>
      <c r="D23" s="32">
        <f>IF(ISBLANK('CWMS Data'!$M25), "", 'CWMS Data'!$M25)</f>
        <v>0</v>
      </c>
      <c r="E23" s="33">
        <f>IF(ISBLANK('CWMS Data'!$L25), "", 'CWMS Data'!$L25)</f>
        <v>2400</v>
      </c>
      <c r="F23" s="13" t="str">
        <f t="array" ref="F23">IF(AND(E23=MAX(E$7:E$37), F$7:F22&lt;&gt;"+"), "+", IF(AND(E23=MIN(E$7:E$37), F$7:F22&lt;&gt;"-"), "-", ""))</f>
        <v/>
      </c>
      <c r="G23" s="34">
        <f>IF(ISBLANK('CWMS Data'!$N25), "", 'CWMS Data'!$N25)</f>
        <v>25800</v>
      </c>
      <c r="H23" s="14" t="str">
        <f t="array" ref="H23">IF(AND(G23=MAX(G$7:G$37), H$7:H22&lt;&gt;"+"), "+", IF(AND(G23=MIN(G$7:G$37), H$7:H22&lt;&gt;"-"), "-", ""))</f>
        <v>-</v>
      </c>
      <c r="I23" s="33">
        <f>IF(ISBLANK('CWMS Data'!$O25), "", 'CWMS Data'!$O25)</f>
        <v>0</v>
      </c>
      <c r="J23" s="14" t="str">
        <f t="array" ref="J23">IF(AND(I23=MAX(I$7:I$37), J$7:J22&lt;&gt;"+"), "+", IF(AND(I23=MIN(I$7:I$37), J$7:J22&lt;&gt;"-"), "-", ""))</f>
        <v/>
      </c>
      <c r="K23" s="119">
        <f t="shared" si="0"/>
        <v>25800</v>
      </c>
      <c r="L23" s="14" t="str">
        <f t="array" ref="L23">IF(AND(K23=MAX(K$7:K$37), L$7:L22&lt;&gt;"+"), "+", IF(AND(K23=MIN(K$7:K$37), L$7:L22&lt;&gt;"-"), "-", ""))</f>
        <v>-</v>
      </c>
      <c r="M23" s="77">
        <f>IF(ISBLANK('CWMS Data'!$P25), "", 'CWMS Data'!$P25)</f>
        <v>0</v>
      </c>
      <c r="N23" s="13" t="str">
        <f t="array" ref="N23">IF(AND(M23=MAX(M$7:M$37), N$7:N22&lt;&gt;"+"), "+", IF(AND(M23=MIN(M$7:M$37), N$7:N22&lt;&gt;"-"), "-", ""))</f>
        <v/>
      </c>
      <c r="O23" s="34">
        <v>15000</v>
      </c>
      <c r="P23" s="13" t="str">
        <f t="array" ref="P23">IF(AND(O23=MAX(O$7:O$37), P$7:P22&lt;&gt;"+"), "+", IF(AND(O23=MIN(O$7:O$37), P$7:P22&lt;&gt;"-"), "-", ""))</f>
        <v/>
      </c>
      <c r="Q23" s="35"/>
      <c r="R23" s="35"/>
      <c r="S23" s="35"/>
    </row>
    <row r="24" spans="1:19" ht="15" x14ac:dyDescent="0.25">
      <c r="A24" s="30">
        <f>IF(ISBLANK('CWMS Data'!$B26), "", 'CWMS Data'!$B26)</f>
        <v>44061</v>
      </c>
      <c r="B24" s="31">
        <f>IF(ISBLANK('CWMS Data'!$U26), "", 'CWMS Data'!$U26)</f>
        <v>1841.96</v>
      </c>
      <c r="C24" s="13" t="str">
        <f t="array" ref="C24">IF(AND(B24=MAX(B$7:B$37), C$7:C23&lt;&gt;"+"), "+", IF(AND(B24=MIN(B$7:B$37), C$7:C23&lt;&gt;"-"), "-", ""))</f>
        <v/>
      </c>
      <c r="D24" s="32">
        <f>IF(ISBLANK('CWMS Data'!$M26), "", 'CWMS Data'!$M26)</f>
        <v>0</v>
      </c>
      <c r="E24" s="33">
        <f>IF(ISBLANK('CWMS Data'!$L26), "", 'CWMS Data'!$L26)</f>
        <v>2400</v>
      </c>
      <c r="F24" s="13" t="str">
        <f t="array" ref="F24">IF(AND(E24=MAX(E$7:E$37), F$7:F23&lt;&gt;"+"), "+", IF(AND(E24=MIN(E$7:E$37), F$7:F23&lt;&gt;"-"), "-", ""))</f>
        <v/>
      </c>
      <c r="G24" s="34">
        <f>IF(ISBLANK('CWMS Data'!$N26), "", 'CWMS Data'!$N26)</f>
        <v>26000</v>
      </c>
      <c r="H24" s="14" t="str">
        <f t="array" ref="H24">IF(AND(G24=MAX(G$7:G$37), H$7:H23&lt;&gt;"+"), "+", IF(AND(G24=MIN(G$7:G$37), H$7:H23&lt;&gt;"-"), "-", ""))</f>
        <v/>
      </c>
      <c r="I24" s="33">
        <f>IF(ISBLANK('CWMS Data'!$O26), "", 'CWMS Data'!$O26)</f>
        <v>0</v>
      </c>
      <c r="J24" s="14" t="str">
        <f t="array" ref="J24">IF(AND(I24=MAX(I$7:I$37), J$7:J23&lt;&gt;"+"), "+", IF(AND(I24=MIN(I$7:I$37), J$7:J23&lt;&gt;"-"), "-", ""))</f>
        <v/>
      </c>
      <c r="K24" s="119">
        <f t="shared" si="0"/>
        <v>26000</v>
      </c>
      <c r="L24" s="14" t="str">
        <f t="array" ref="L24">IF(AND(K24=MAX(K$7:K$37), L$7:L23&lt;&gt;"+"), "+", IF(AND(K24=MIN(K$7:K$37), L$7:L23&lt;&gt;"-"), "-", ""))</f>
        <v/>
      </c>
      <c r="M24" s="77">
        <f>IF(ISBLANK('CWMS Data'!$P26), "", 'CWMS Data'!$P26)</f>
        <v>0</v>
      </c>
      <c r="N24" s="13" t="str">
        <f t="array" ref="N24">IF(AND(M24=MAX(M$7:M$37), N$7:N23&lt;&gt;"+"), "+", IF(AND(M24=MIN(M$7:M$37), N$7:N23&lt;&gt;"-"), "-", ""))</f>
        <v/>
      </c>
      <c r="O24" s="34">
        <f>IF(ISBLANK('CWMS Data'!$R26), "", 'CWMS Data'!$R26)</f>
        <v>16000.000000000002</v>
      </c>
      <c r="P24" s="13" t="str">
        <f t="array" ref="P24">IF(AND(O24=MAX(O$7:O$37), P$7:P23&lt;&gt;"+"), "+", IF(AND(O24=MIN(O$7:O$37), P$7:P23&lt;&gt;"-"), "-", ""))</f>
        <v/>
      </c>
      <c r="Q24" s="35"/>
      <c r="R24" s="35"/>
      <c r="S24" s="35"/>
    </row>
    <row r="25" spans="1:19" ht="15" x14ac:dyDescent="0.25">
      <c r="A25" s="30">
        <f>IF(ISBLANK('CWMS Data'!$B27), "", 'CWMS Data'!$B27)</f>
        <v>44062</v>
      </c>
      <c r="B25" s="31">
        <f>IF(ISBLANK('CWMS Data'!$U27), "", 'CWMS Data'!$U27)</f>
        <v>1841.8699999999997</v>
      </c>
      <c r="C25" s="13" t="str">
        <f t="array" ref="C25">IF(AND(B25=MAX(B$7:B$37), C$7:C24&lt;&gt;"+"), "+", IF(AND(B25=MIN(B$7:B$37), C$7:C24&lt;&gt;"-"), "-", ""))</f>
        <v/>
      </c>
      <c r="D25" s="32">
        <f>IF(ISBLANK('CWMS Data'!$M27), "", 'CWMS Data'!$M27)</f>
        <v>0</v>
      </c>
      <c r="E25" s="33">
        <f>IF(ISBLANK('CWMS Data'!$L27), "", 'CWMS Data'!$L27)</f>
        <v>2400</v>
      </c>
      <c r="F25" s="13" t="str">
        <f t="array" ref="F25">IF(AND(E25=MAX(E$7:E$37), F$7:F24&lt;&gt;"+"), "+", IF(AND(E25=MIN(E$7:E$37), F$7:F24&lt;&gt;"-"), "-", ""))</f>
        <v/>
      </c>
      <c r="G25" s="34">
        <f>IF(ISBLANK('CWMS Data'!$N27), "", 'CWMS Data'!$N27)</f>
        <v>26100.000000000004</v>
      </c>
      <c r="H25" s="14" t="str">
        <f t="array" ref="H25">IF(AND(G25=MAX(G$7:G$37), H$7:H24&lt;&gt;"+"), "+", IF(AND(G25=MIN(G$7:G$37), H$7:H24&lt;&gt;"-"), "-", ""))</f>
        <v/>
      </c>
      <c r="I25" s="33">
        <f>IF(ISBLANK('CWMS Data'!$O27), "", 'CWMS Data'!$O27)</f>
        <v>0</v>
      </c>
      <c r="J25" s="14" t="str">
        <f t="array" ref="J25">IF(AND(I25=MAX(I$7:I$37), J$7:J24&lt;&gt;"+"), "+", IF(AND(I25=MIN(I$7:I$37), J$7:J24&lt;&gt;"-"), "-", ""))</f>
        <v/>
      </c>
      <c r="K25" s="119">
        <f t="shared" si="0"/>
        <v>26100.000000000004</v>
      </c>
      <c r="L25" s="14" t="str">
        <f t="array" ref="L25">IF(AND(K25=MAX(K$7:K$37), L$7:L24&lt;&gt;"+"), "+", IF(AND(K25=MIN(K$7:K$37), L$7:L24&lt;&gt;"-"), "-", ""))</f>
        <v/>
      </c>
      <c r="M25" s="77">
        <f>IF(ISBLANK('CWMS Data'!$P27), "", 'CWMS Data'!$P27)</f>
        <v>0</v>
      </c>
      <c r="N25" s="13" t="str">
        <f t="array" ref="N25">IF(AND(M25=MAX(M$7:M$37), N$7:N24&lt;&gt;"+"), "+", IF(AND(M25=MIN(M$7:M$37), N$7:N24&lt;&gt;"-"), "-", ""))</f>
        <v/>
      </c>
      <c r="O25" s="34">
        <f>IF(ISBLANK('CWMS Data'!$R27), "", 'CWMS Data'!$R27)</f>
        <v>16000.000000000002</v>
      </c>
      <c r="P25" s="13" t="str">
        <f t="array" ref="P25">IF(AND(O25=MAX(O$7:O$37), P$7:P24&lt;&gt;"+"), "+", IF(AND(O25=MIN(O$7:O$37), P$7:P24&lt;&gt;"-"), "-", ""))</f>
        <v/>
      </c>
      <c r="Q25" s="35"/>
      <c r="R25" s="35"/>
      <c r="S25" s="35"/>
    </row>
    <row r="26" spans="1:19" ht="15" x14ac:dyDescent="0.25">
      <c r="A26" s="36">
        <f>IF(ISBLANK('CWMS Data'!$B28), "", 'CWMS Data'!$B28)</f>
        <v>44063</v>
      </c>
      <c r="B26" s="31">
        <f>IF(ISBLANK('CWMS Data'!$U28), "", 'CWMS Data'!$U28)</f>
        <v>1841.79</v>
      </c>
      <c r="C26" s="13" t="str">
        <f t="array" ref="C26">IF(AND(B26=MAX(B$7:B$37), C$7:C25&lt;&gt;"+"), "+", IF(AND(B26=MIN(B$7:B$37), C$7:C25&lt;&gt;"-"), "-", ""))</f>
        <v/>
      </c>
      <c r="D26" s="32">
        <f>IF(ISBLANK('CWMS Data'!$M28), "", 'CWMS Data'!$M28)</f>
        <v>0</v>
      </c>
      <c r="E26" s="134">
        <f>IF(ISBLANK('CWMS Data'!$L28), "", 'CWMS Data'!$L28)</f>
        <v>2400</v>
      </c>
      <c r="F26" s="13" t="str">
        <f t="array" ref="F26">IF(AND(E26=MAX(E$7:E$37), F$7:F25&lt;&gt;"+"), "+", IF(AND(E26=MIN(E$7:E$37), F$7:F25&lt;&gt;"-"), "-", ""))</f>
        <v/>
      </c>
      <c r="G26" s="34">
        <f>IF(ISBLANK('CWMS Data'!$N28), "", 'CWMS Data'!$N28)</f>
        <v>26100.000000000004</v>
      </c>
      <c r="H26" s="14" t="str">
        <f t="array" ref="H26">IF(AND(G26=MAX(G$7:G$37), H$7:H25&lt;&gt;"+"), "+", IF(AND(G26=MIN(G$7:G$37), H$7:H25&lt;&gt;"-"), "-", ""))</f>
        <v/>
      </c>
      <c r="I26" s="33">
        <f>IF(ISBLANK('CWMS Data'!$O28), "", 'CWMS Data'!$O28)</f>
        <v>0</v>
      </c>
      <c r="J26" s="14" t="str">
        <f t="array" ref="J26">IF(AND(I26=MAX(I$7:I$37), J$7:J25&lt;&gt;"+"), "+", IF(AND(I26=MIN(I$7:I$37), J$7:J25&lt;&gt;"-"), "-", ""))</f>
        <v/>
      </c>
      <c r="K26" s="119">
        <f t="shared" si="0"/>
        <v>26100.000000000004</v>
      </c>
      <c r="L26" s="14" t="str">
        <f t="array" ref="L26">IF(AND(K26=MAX(K$7:K$37), L$7:L25&lt;&gt;"+"), "+", IF(AND(K26=MIN(K$7:K$37), L$7:L25&lt;&gt;"-"), "-", ""))</f>
        <v/>
      </c>
      <c r="M26" s="77">
        <f>IF(ISBLANK('CWMS Data'!$P28), "", 'CWMS Data'!$P28)</f>
        <v>0</v>
      </c>
      <c r="N26" s="13" t="str">
        <f t="array" ref="N26">IF(AND(M26=MAX(M$7:M$37), N$7:N25&lt;&gt;"+"), "+", IF(AND(M26=MIN(M$7:M$37), N$7:N25&lt;&gt;"-"), "-", ""))</f>
        <v/>
      </c>
      <c r="O26" s="34">
        <f>IF(ISBLANK('CWMS Data'!$R28), "", 'CWMS Data'!$R28)</f>
        <v>16000.000000000002</v>
      </c>
      <c r="P26" s="13" t="str">
        <f t="array" ref="P26">IF(AND(O26=MAX(O$7:O$37), P$7:P25&lt;&gt;"+"), "+", IF(AND(O26=MIN(O$7:O$37), P$7:P25&lt;&gt;"-"), "-", ""))</f>
        <v/>
      </c>
      <c r="Q26" s="35"/>
      <c r="R26" s="35"/>
      <c r="S26" s="35"/>
    </row>
    <row r="27" spans="1:19" ht="15" x14ac:dyDescent="0.25">
      <c r="A27" s="30">
        <f>IF(ISBLANK('CWMS Data'!$B29), "", 'CWMS Data'!$B29)</f>
        <v>44064</v>
      </c>
      <c r="B27" s="31">
        <f>IF(ISBLANK('CWMS Data'!$U29), "", 'CWMS Data'!$U29)</f>
        <v>1841.76</v>
      </c>
      <c r="C27" s="13" t="str">
        <f t="array" ref="C27">IF(AND(B27=MAX(B$7:B$37), C$7:C26&lt;&gt;"+"), "+", IF(AND(B27=MIN(B$7:B$37), C$7:C26&lt;&gt;"-"), "-", ""))</f>
        <v/>
      </c>
      <c r="D27" s="32">
        <f>IF(ISBLANK('CWMS Data'!$M29), "", 'CWMS Data'!$M29)</f>
        <v>0</v>
      </c>
      <c r="E27" s="134">
        <f>IF(ISBLANK('CWMS Data'!$L29), "", 'CWMS Data'!$L29)</f>
        <v>2400</v>
      </c>
      <c r="F27" s="13" t="str">
        <f t="array" ref="F27">IF(AND(E27=MAX(E$7:E$37), F$7:F26&lt;&gt;"+"), "+", IF(AND(E27=MIN(E$7:E$37), F$7:F26&lt;&gt;"-"), "-", ""))</f>
        <v/>
      </c>
      <c r="G27" s="34">
        <f>IF(ISBLANK('CWMS Data'!$N29), "", 'CWMS Data'!$N29)</f>
        <v>26400.000000000004</v>
      </c>
      <c r="H27" s="14" t="str">
        <f t="array" ref="H27">IF(AND(G27=MAX(G$7:G$37), H$7:H26&lt;&gt;"+"), "+", IF(AND(G27=MIN(G$7:G$37), H$7:H26&lt;&gt;"-"), "-", ""))</f>
        <v/>
      </c>
      <c r="I27" s="33">
        <f>IF(ISBLANK('CWMS Data'!$O29), "", 'CWMS Data'!$O29)</f>
        <v>0</v>
      </c>
      <c r="J27" s="14" t="str">
        <f t="array" ref="J27">IF(AND(I27=MAX(I$7:I$37), J$7:J26&lt;&gt;"+"), "+", IF(AND(I27=MIN(I$7:I$37), J$7:J26&lt;&gt;"-"), "-", ""))</f>
        <v/>
      </c>
      <c r="K27" s="119">
        <f t="shared" si="0"/>
        <v>26400.000000000004</v>
      </c>
      <c r="L27" s="14" t="str">
        <f t="array" ref="L27">IF(AND(K27=MAX(K$7:K$37), L$7:L26&lt;&gt;"+"), "+", IF(AND(K27=MIN(K$7:K$37), L$7:L26&lt;&gt;"-"), "-", ""))</f>
        <v/>
      </c>
      <c r="M27" s="77">
        <f>IF(ISBLANK('CWMS Data'!$P29), "", 'CWMS Data'!$P29)</f>
        <v>0</v>
      </c>
      <c r="N27" s="13" t="str">
        <f t="array" ref="N27">IF(AND(M27=MAX(M$7:M$37), N$7:N26&lt;&gt;"+"), "+", IF(AND(M27=MIN(M$7:M$37), N$7:N26&lt;&gt;"-"), "-", ""))</f>
        <v/>
      </c>
      <c r="O27" s="34">
        <f>IF(ISBLANK('CWMS Data'!$R29), "", 'CWMS Data'!$R29)</f>
        <v>16000.000000000002</v>
      </c>
      <c r="P27" s="13" t="str">
        <f t="array" ref="P27">IF(AND(O27=MAX(O$7:O$37), P$7:P26&lt;&gt;"+"), "+", IF(AND(O27=MIN(O$7:O$37), P$7:P26&lt;&gt;"-"), "-", ""))</f>
        <v/>
      </c>
      <c r="Q27" s="35"/>
      <c r="R27" s="35"/>
      <c r="S27" s="35"/>
    </row>
    <row r="28" spans="1:19" ht="15" x14ac:dyDescent="0.25">
      <c r="A28" s="30">
        <f>IF(ISBLANK('CWMS Data'!$B30), "", 'CWMS Data'!$B30)</f>
        <v>44065</v>
      </c>
      <c r="B28" s="31">
        <f>IF(ISBLANK('CWMS Data'!$U30), "", 'CWMS Data'!$U30)</f>
        <v>1841.5799999999997</v>
      </c>
      <c r="C28" s="13" t="str">
        <f t="array" ref="C28">IF(AND(B28=MAX(B$7:B$37), C$7:C27&lt;&gt;"+"), "+", IF(AND(B28=MIN(B$7:B$37), C$7:C27&lt;&gt;"-"), "-", ""))</f>
        <v/>
      </c>
      <c r="D28" s="32">
        <f>IF(ISBLANK('CWMS Data'!$M30), "", 'CWMS Data'!$M30)</f>
        <v>0</v>
      </c>
      <c r="E28" s="33">
        <f>IF(ISBLANK('CWMS Data'!$L30), "", 'CWMS Data'!$L30)</f>
        <v>2400</v>
      </c>
      <c r="F28" s="13" t="str">
        <f t="array" ref="F28">IF(AND(E28=MAX(E$7:E$37), F$7:F27&lt;&gt;"+"), "+", IF(AND(E28=MIN(E$7:E$37), F$7:F27&lt;&gt;"-"), "-", ""))</f>
        <v/>
      </c>
      <c r="G28" s="34">
        <f>IF(ISBLANK('CWMS Data'!$N30), "", 'CWMS Data'!$N30)</f>
        <v>26400.000000000004</v>
      </c>
      <c r="H28" s="14" t="str">
        <f t="array" ref="H28">IF(AND(G28=MAX(G$7:G$37), H$7:H27&lt;&gt;"+"), "+", IF(AND(G28=MIN(G$7:G$37), H$7:H27&lt;&gt;"-"), "-", ""))</f>
        <v/>
      </c>
      <c r="I28" s="33">
        <f>IF(ISBLANK('CWMS Data'!$O30), "", 'CWMS Data'!$O30)</f>
        <v>0</v>
      </c>
      <c r="J28" s="14" t="str">
        <f t="array" ref="J28">IF(AND(I28=MAX(I$7:I$37), J$7:J27&lt;&gt;"+"), "+", IF(AND(I28=MIN(I$7:I$37), J$7:J27&lt;&gt;"-"), "-", ""))</f>
        <v/>
      </c>
      <c r="K28" s="119">
        <f t="shared" si="0"/>
        <v>26400.000000000004</v>
      </c>
      <c r="L28" s="14" t="str">
        <f t="array" ref="L28">IF(AND(K28=MAX(K$7:K$37), L$7:L27&lt;&gt;"+"), "+", IF(AND(K28=MIN(K$7:K$37), L$7:L27&lt;&gt;"-"), "-", ""))</f>
        <v/>
      </c>
      <c r="M28" s="77">
        <f>IF(ISBLANK('CWMS Data'!$P30), "", 'CWMS Data'!$P30)</f>
        <v>0</v>
      </c>
      <c r="N28" s="13" t="str">
        <f t="array" ref="N28">IF(AND(M28=MAX(M$7:M$37), N$7:N27&lt;&gt;"+"), "+", IF(AND(M28=MIN(M$7:M$37), N$7:N27&lt;&gt;"-"), "-", ""))</f>
        <v/>
      </c>
      <c r="O28" s="34">
        <f>IF(ISBLANK('CWMS Data'!$R30), "", 'CWMS Data'!$R30)</f>
        <v>16000.000000000002</v>
      </c>
      <c r="P28" s="13" t="str">
        <f t="array" ref="P28">IF(AND(O28=MAX(O$7:O$37), P$7:P27&lt;&gt;"+"), "+", IF(AND(O28=MIN(O$7:O$37), P$7:P27&lt;&gt;"-"), "-", ""))</f>
        <v/>
      </c>
      <c r="Q28" s="35"/>
      <c r="R28" s="35"/>
      <c r="S28" s="35"/>
    </row>
    <row r="29" spans="1:19" ht="15" x14ac:dyDescent="0.25">
      <c r="A29" s="30">
        <f>IF(ISBLANK('CWMS Data'!$B31), "", 'CWMS Data'!$B31)</f>
        <v>44066</v>
      </c>
      <c r="B29" s="31">
        <f>IF(ISBLANK('CWMS Data'!$U31), "", 'CWMS Data'!$U31)</f>
        <v>1841.4299999999998</v>
      </c>
      <c r="C29" s="13" t="str">
        <f t="array" ref="C29">IF(AND(B29=MAX(B$7:B$37), C$7:C28&lt;&gt;"+"), "+", IF(AND(B29=MIN(B$7:B$37), C$7:C28&lt;&gt;"-"), "-", ""))</f>
        <v/>
      </c>
      <c r="D29" s="32">
        <f>IF(ISBLANK('CWMS Data'!$M31), "", 'CWMS Data'!$M31)</f>
        <v>0</v>
      </c>
      <c r="E29" s="141">
        <f>IF(ISBLANK('CWMS Data'!$L31), "", 'CWMS Data'!$L31)</f>
        <v>2400</v>
      </c>
      <c r="F29" s="13" t="str">
        <f t="array" ref="F29">IF(AND(E29=MAX(E$7:E$37), F$7:F28&lt;&gt;"+"), "+", IF(AND(E29=MIN(E$7:E$37), F$7:F28&lt;&gt;"-"), "-", ""))</f>
        <v/>
      </c>
      <c r="G29" s="34">
        <f>IF(ISBLANK('CWMS Data'!$N31), "", 'CWMS Data'!$N31)</f>
        <v>26400.000000000004</v>
      </c>
      <c r="H29" s="14" t="str">
        <f t="array" ref="H29">IF(AND(G29=MAX(G$7:G$37), H$7:H28&lt;&gt;"+"), "+", IF(AND(G29=MIN(G$7:G$37), H$7:H28&lt;&gt;"-"), "-", ""))</f>
        <v/>
      </c>
      <c r="I29" s="33">
        <f>IF(ISBLANK('CWMS Data'!$O31), "", 'CWMS Data'!$O31)</f>
        <v>0</v>
      </c>
      <c r="J29" s="14" t="str">
        <f t="array" ref="J29">IF(AND(I29=MAX(I$7:I$37), J$7:J28&lt;&gt;"+"), "+", IF(AND(I29=MIN(I$7:I$37), J$7:J28&lt;&gt;"-"), "-", ""))</f>
        <v/>
      </c>
      <c r="K29" s="119">
        <f t="shared" si="0"/>
        <v>26400.000000000004</v>
      </c>
      <c r="L29" s="14" t="str">
        <f t="array" ref="L29">IF(AND(K29=MAX(K$7:K$37), L$7:L28&lt;&gt;"+"), "+", IF(AND(K29=MIN(K$7:K$37), L$7:L28&lt;&gt;"-"), "-", ""))</f>
        <v/>
      </c>
      <c r="M29" s="77">
        <f>IF(ISBLANK('CWMS Data'!$P31), "", 'CWMS Data'!$P31)</f>
        <v>0</v>
      </c>
      <c r="N29" s="13" t="str">
        <f t="array" ref="N29">IF(AND(M29=MAX(M$7:M$37), N$7:N28&lt;&gt;"+"), "+", IF(AND(M29=MIN(M$7:M$37), N$7:N28&lt;&gt;"-"), "-", ""))</f>
        <v/>
      </c>
      <c r="O29" s="34">
        <f>IF(ISBLANK('CWMS Data'!$R31), "", 'CWMS Data'!$R31)</f>
        <v>15000.000000000002</v>
      </c>
      <c r="P29" s="13" t="str">
        <f t="array" ref="P29">IF(AND(O29=MAX(O$7:O$37), P$7:P28&lt;&gt;"+"), "+", IF(AND(O29=MIN(O$7:O$37), P$7:P28&lt;&gt;"-"), "-", ""))</f>
        <v/>
      </c>
      <c r="Q29" s="35"/>
      <c r="R29" s="35"/>
      <c r="S29" s="35"/>
    </row>
    <row r="30" spans="1:19" ht="15" x14ac:dyDescent="0.25">
      <c r="A30" s="30">
        <f>IF(ISBLANK('CWMS Data'!$B32), "", 'CWMS Data'!$B32)</f>
        <v>44067</v>
      </c>
      <c r="B30" s="31">
        <f>IF(ISBLANK('CWMS Data'!$U32), "", 'CWMS Data'!$U32)</f>
        <v>1841.27</v>
      </c>
      <c r="C30" s="13" t="str">
        <f t="array" ref="C30">IF(AND(B30=MAX(B$7:B$37), C$7:C29&lt;&gt;"+"), "+", IF(AND(B30=MIN(B$7:B$37), C$7:C29&lt;&gt;"-"), "-", ""))</f>
        <v/>
      </c>
      <c r="D30" s="32">
        <f>IF(ISBLANK('CWMS Data'!$M32), "", 'CWMS Data'!$M32)</f>
        <v>0</v>
      </c>
      <c r="E30" s="141">
        <f>IF(ISBLANK('CWMS Data'!$L32), "", 'CWMS Data'!$L32)</f>
        <v>2400</v>
      </c>
      <c r="F30" s="13" t="str">
        <f t="array" ref="F30">IF(AND(E30=MAX(E$7:E$37), F$7:F29&lt;&gt;"+"), "+", IF(AND(E30=MIN(E$7:E$37), F$7:F29&lt;&gt;"-"), "-", ""))</f>
        <v/>
      </c>
      <c r="G30" s="34">
        <f>IF(ISBLANK('CWMS Data'!$N32), "", 'CWMS Data'!$N32)</f>
        <v>27500.000000000004</v>
      </c>
      <c r="H30" s="14" t="str">
        <f t="array" ref="H30">IF(AND(G30=MAX(G$7:G$37), H$7:H29&lt;&gt;"+"), "+", IF(AND(G30=MIN(G$7:G$37), H$7:H29&lt;&gt;"-"), "-", ""))</f>
        <v/>
      </c>
      <c r="I30" s="33">
        <f>IF(ISBLANK('CWMS Data'!$O32), "", 'CWMS Data'!$O32)</f>
        <v>0</v>
      </c>
      <c r="J30" s="14" t="str">
        <f t="array" ref="J30">IF(AND(I30=MAX(I$7:I$37), J$7:J29&lt;&gt;"+"), "+", IF(AND(I30=MIN(I$7:I$37), J$7:J29&lt;&gt;"-"), "-", ""))</f>
        <v/>
      </c>
      <c r="K30" s="119">
        <f t="shared" si="0"/>
        <v>27500.000000000004</v>
      </c>
      <c r="L30" s="14" t="str">
        <f t="array" ref="L30">IF(AND(K30=MAX(K$7:K$37), L$7:L29&lt;&gt;"+"), "+", IF(AND(K30=MIN(K$7:K$37), L$7:L29&lt;&gt;"-"), "-", ""))</f>
        <v/>
      </c>
      <c r="M30" s="77">
        <f>IF(ISBLANK('CWMS Data'!$P32), "", 'CWMS Data'!$P32)</f>
        <v>0</v>
      </c>
      <c r="N30" s="13" t="str">
        <f t="array" ref="N30">IF(AND(M30=MAX(M$7:M$37), N$7:N29&lt;&gt;"+"), "+", IF(AND(M30=MIN(M$7:M$37), N$7:N29&lt;&gt;"-"), "-", ""))</f>
        <v/>
      </c>
      <c r="O30" s="34">
        <f>IF(ISBLANK('CWMS Data'!$R32), "", 'CWMS Data'!$R32)</f>
        <v>14000.000000000002</v>
      </c>
      <c r="P30" s="13" t="str">
        <f t="array" ref="P30">IF(AND(O30=MAX(O$7:O$37), P$7:P29&lt;&gt;"+"), "+", IF(AND(O30=MIN(O$7:O$37), P$7:P29&lt;&gt;"-"), "-", ""))</f>
        <v/>
      </c>
      <c r="Q30" s="35"/>
      <c r="R30" s="35"/>
      <c r="S30" s="35"/>
    </row>
    <row r="31" spans="1:19" ht="15" x14ac:dyDescent="0.25">
      <c r="A31" s="36">
        <f>IF(ISBLANK('CWMS Data'!$B33), "", 'CWMS Data'!$B33)</f>
        <v>44068</v>
      </c>
      <c r="B31" s="31">
        <f>IF(ISBLANK('CWMS Data'!$U33), "", 'CWMS Data'!$U33)</f>
        <v>1841.28</v>
      </c>
      <c r="C31" s="13" t="str">
        <f t="array" ref="C31">IF(AND(B31=MAX(B$7:B$37), C$7:C30&lt;&gt;"+"), "+", IF(AND(B31=MIN(B$7:B$37), C$7:C30&lt;&gt;"-"), "-", ""))</f>
        <v/>
      </c>
      <c r="D31" s="32">
        <f>IF(ISBLANK('CWMS Data'!$M33), "", 'CWMS Data'!$M33)</f>
        <v>0</v>
      </c>
      <c r="E31" s="141">
        <f>IF(ISBLANK('CWMS Data'!$L33), "", 'CWMS Data'!$L33)</f>
        <v>2400</v>
      </c>
      <c r="F31" s="13" t="str">
        <f t="array" ref="F31">IF(AND(E31=MAX(E$7:E$37), F$7:F30&lt;&gt;"+"), "+", IF(AND(E31=MIN(E$7:E$37), F$7:F30&lt;&gt;"-"), "-", ""))</f>
        <v/>
      </c>
      <c r="G31" s="34">
        <f>IF(ISBLANK('CWMS Data'!$N33), "", 'CWMS Data'!$N33)</f>
        <v>26400.000000000004</v>
      </c>
      <c r="H31" s="14" t="str">
        <f t="array" ref="H31">IF(AND(G31=MAX(G$7:G$37), H$7:H30&lt;&gt;"+"), "+", IF(AND(G31=MIN(G$7:G$37), H$7:H30&lt;&gt;"-"), "-", ""))</f>
        <v/>
      </c>
      <c r="I31" s="33">
        <f>IF(ISBLANK('CWMS Data'!$O33), "", 'CWMS Data'!$O33)</f>
        <v>0</v>
      </c>
      <c r="J31" s="14" t="str">
        <f t="array" ref="J31">IF(AND(I31=MAX(I$7:I$37), J$7:J30&lt;&gt;"+"), "+", IF(AND(I31=MIN(I$7:I$37), J$7:J30&lt;&gt;"-"), "-", ""))</f>
        <v/>
      </c>
      <c r="K31" s="119">
        <f t="shared" si="0"/>
        <v>26400.000000000004</v>
      </c>
      <c r="L31" s="14" t="str">
        <f t="array" ref="L31">IF(AND(K31=MAX(K$7:K$37), L$7:L30&lt;&gt;"+"), "+", IF(AND(K31=MIN(K$7:K$37), L$7:L30&lt;&gt;"-"), "-", ""))</f>
        <v/>
      </c>
      <c r="M31" s="77">
        <f>IF(ISBLANK('CWMS Data'!$P33), "", 'CWMS Data'!$P33)</f>
        <v>0</v>
      </c>
      <c r="N31" s="13" t="str">
        <f t="array" ref="N31">IF(AND(M31=MAX(M$7:M$37), N$7:N30&lt;&gt;"+"), "+", IF(AND(M31=MIN(M$7:M$37), N$7:N30&lt;&gt;"-"), "-", ""))</f>
        <v/>
      </c>
      <c r="O31" s="34">
        <f>IF(ISBLANK('CWMS Data'!$R33), "", 'CWMS Data'!$R33)</f>
        <v>14000.000000000002</v>
      </c>
      <c r="P31" s="13" t="str">
        <f t="array" ref="P31">IF(AND(O31=MAX(O$7:O$37), P$7:P30&lt;&gt;"+"), "+", IF(AND(O31=MIN(O$7:O$37), P$7:P30&lt;&gt;"-"), "-", ""))</f>
        <v/>
      </c>
      <c r="Q31" s="35"/>
      <c r="R31" s="80"/>
      <c r="S31" s="35"/>
    </row>
    <row r="32" spans="1:19" ht="15" x14ac:dyDescent="0.25">
      <c r="A32" s="30">
        <f>IF(ISBLANK('CWMS Data'!$B34), "", 'CWMS Data'!$B34)</f>
        <v>44069</v>
      </c>
      <c r="B32" s="31">
        <f>IF(ISBLANK('CWMS Data'!$U34), "", 'CWMS Data'!$U34)</f>
        <v>1841.1699999999998</v>
      </c>
      <c r="C32" s="13" t="str">
        <f t="array" ref="C32">IF(AND(B32=MAX(B$7:B$37), C$7:C31&lt;&gt;"+"), "+", IF(AND(B32=MIN(B$7:B$37), C$7:C31&lt;&gt;"-"), "-", ""))</f>
        <v/>
      </c>
      <c r="D32" s="32">
        <f>IF(ISBLANK('CWMS Data'!$M34), "", 'CWMS Data'!$M34)</f>
        <v>0</v>
      </c>
      <c r="E32" s="141">
        <f>IF(ISBLANK('CWMS Data'!$L34), "", 'CWMS Data'!$L34)</f>
        <v>2400</v>
      </c>
      <c r="F32" s="13" t="str">
        <f t="array" ref="F32">IF(AND(E32=MAX(E$7:E$37), F$7:F31&lt;&gt;"+"), "+", IF(AND(E32=MIN(E$7:E$37), F$7:F31&lt;&gt;"-"), "-", ""))</f>
        <v/>
      </c>
      <c r="G32" s="34">
        <f>IF(ISBLANK('CWMS Data'!$N34), "", 'CWMS Data'!$N34)</f>
        <v>26700</v>
      </c>
      <c r="H32" s="14" t="str">
        <f t="array" ref="H32">IF(AND(G32=MAX(G$7:G$37), H$7:H31&lt;&gt;"+"), "+", IF(AND(G32=MIN(G$7:G$37), H$7:H31&lt;&gt;"-"), "-", ""))</f>
        <v/>
      </c>
      <c r="I32" s="33">
        <f>IF(ISBLANK('CWMS Data'!$O34), "", 'CWMS Data'!$O34)</f>
        <v>0</v>
      </c>
      <c r="J32" s="14" t="str">
        <f t="array" ref="J32">IF(AND(I32=MAX(I$7:I$37), J$7:J31&lt;&gt;"+"), "+", IF(AND(I32=MIN(I$7:I$37), J$7:J31&lt;&gt;"-"), "-", ""))</f>
        <v/>
      </c>
      <c r="K32" s="119">
        <f t="shared" si="0"/>
        <v>26700</v>
      </c>
      <c r="L32" s="14" t="str">
        <f t="array" ref="L32">IF(AND(K32=MAX(K$7:K$37), L$7:L31&lt;&gt;"+"), "+", IF(AND(K32=MIN(K$7:K$37), L$7:L31&lt;&gt;"-"), "-", ""))</f>
        <v/>
      </c>
      <c r="M32" s="77">
        <f>IF(ISBLANK('CWMS Data'!$P34), "", 'CWMS Data'!$P34)</f>
        <v>100.00000002825175</v>
      </c>
      <c r="N32" s="13" t="str">
        <f t="array" ref="N32">IF(AND(M32=MAX(M$7:M$37), N$7:N31&lt;&gt;"+"), "+", IF(AND(M32=MIN(M$7:M$37), N$7:N31&lt;&gt;"-"), "-", ""))</f>
        <v/>
      </c>
      <c r="O32" s="34">
        <f>IF(ISBLANK('CWMS Data'!$R34), "", 'CWMS Data'!$R34)</f>
        <v>14000.000000000002</v>
      </c>
      <c r="P32" s="13" t="str">
        <f t="array" ref="P32">IF(AND(O32=MAX(O$7:O$37), P$7:P31&lt;&gt;"+"), "+", IF(AND(O32=MIN(O$7:O$37), P$7:P31&lt;&gt;"-"), "-", ""))</f>
        <v/>
      </c>
      <c r="Q32" s="35"/>
      <c r="R32" s="35"/>
      <c r="S32" s="35"/>
    </row>
    <row r="33" spans="1:19" ht="15" x14ac:dyDescent="0.25">
      <c r="A33" s="30">
        <f>IF(ISBLANK('CWMS Data'!$B35), "", 'CWMS Data'!$B35)</f>
        <v>44070</v>
      </c>
      <c r="B33" s="31">
        <f>IF(ISBLANK('CWMS Data'!$U35), "", 'CWMS Data'!$U35)</f>
        <v>1841.2599999999998</v>
      </c>
      <c r="C33" s="13" t="str">
        <f t="array" ref="C33">IF(AND(B33=MAX(B$7:B$37), C$7:C32&lt;&gt;"+"), "+", IF(AND(B33=MIN(B$7:B$37), C$7:C32&lt;&gt;"-"), "-", ""))</f>
        <v/>
      </c>
      <c r="D33" s="32">
        <f>IF(ISBLANK('CWMS Data'!$M35), "", 'CWMS Data'!$M35)</f>
        <v>0</v>
      </c>
      <c r="E33" s="141">
        <f>IF(ISBLANK('CWMS Data'!$L35), "", 'CWMS Data'!$L35)</f>
        <v>2400</v>
      </c>
      <c r="F33" s="13" t="str">
        <f t="array" ref="F33">IF(AND(E33=MAX(E$7:E$37), F$7:F32&lt;&gt;"+"), "+", IF(AND(E33=MIN(E$7:E$37), F$7:F32&lt;&gt;"-"), "-", ""))</f>
        <v/>
      </c>
      <c r="G33" s="34">
        <f>IF(ISBLANK('CWMS Data'!$N35), "", 'CWMS Data'!$N35)</f>
        <v>27300.000000000004</v>
      </c>
      <c r="H33" s="14" t="str">
        <f t="array" ref="H33">IF(AND(G33=MAX(G$7:G$37), H$7:H32&lt;&gt;"+"), "+", IF(AND(G33=MIN(G$7:G$37), H$7:H32&lt;&gt;"-"), "-", ""))</f>
        <v/>
      </c>
      <c r="I33" s="33">
        <f>IF(ISBLANK('CWMS Data'!$O35), "", 'CWMS Data'!$O35)</f>
        <v>0</v>
      </c>
      <c r="J33" s="14" t="str">
        <f t="array" ref="J33">IF(AND(I33=MAX(I$7:I$37), J$7:J32&lt;&gt;"+"), "+", IF(AND(I33=MIN(I$7:I$37), J$7:J32&lt;&gt;"-"), "-", ""))</f>
        <v/>
      </c>
      <c r="K33" s="119">
        <f t="shared" si="0"/>
        <v>27300.000000000004</v>
      </c>
      <c r="L33" s="14" t="str">
        <f t="array" ref="L33">IF(AND(K33=MAX(K$7:K$37), L$7:L32&lt;&gt;"+"), "+", IF(AND(K33=MIN(K$7:K$37), L$7:L32&lt;&gt;"-"), "-", ""))</f>
        <v/>
      </c>
      <c r="M33" s="77">
        <f>IF(ISBLANK('CWMS Data'!$P35), "", 'CWMS Data'!$P35)</f>
        <v>100.00000002825175</v>
      </c>
      <c r="N33" s="13" t="str">
        <f t="array" ref="N33">IF(AND(M33=MAX(M$7:M$37), N$7:N32&lt;&gt;"+"), "+", IF(AND(M33=MIN(M$7:M$37), N$7:N32&lt;&gt;"-"), "-", ""))</f>
        <v/>
      </c>
      <c r="O33" s="34">
        <f>IF(ISBLANK('CWMS Data'!$R35), "", 'CWMS Data'!$R35)</f>
        <v>14000.000000000002</v>
      </c>
      <c r="P33" s="13" t="str">
        <f t="array" ref="P33">IF(AND(O33=MAX(O$7:O$37), P$7:P32&lt;&gt;"+"), "+", IF(AND(O33=MIN(O$7:O$37), P$7:P32&lt;&gt;"-"), "-", ""))</f>
        <v/>
      </c>
      <c r="Q33" s="35"/>
      <c r="R33" s="35"/>
      <c r="S33" s="35"/>
    </row>
    <row r="34" spans="1:19" ht="15" x14ac:dyDescent="0.25">
      <c r="A34" s="30">
        <f>IF(ISBLANK('CWMS Data'!$B36), "", 'CWMS Data'!$B36)</f>
        <v>44071</v>
      </c>
      <c r="B34" s="31">
        <f>IF(ISBLANK('CWMS Data'!$U36), "", 'CWMS Data'!$U36)</f>
        <v>1841.08</v>
      </c>
      <c r="C34" s="13" t="str">
        <f t="array" ref="C34">IF(AND(B34=MAX(B$7:B$37), C$7:C33&lt;&gt;"+"), "+", IF(AND(B34=MIN(B$7:B$37), C$7:C33&lt;&gt;"-"), "-", ""))</f>
        <v/>
      </c>
      <c r="D34" s="32">
        <f>IF(ISBLANK('CWMS Data'!$M36), "", 'CWMS Data'!$M36)</f>
        <v>0</v>
      </c>
      <c r="E34" s="141">
        <f>IF(ISBLANK('CWMS Data'!$L36), "", 'CWMS Data'!$L36)</f>
        <v>2400</v>
      </c>
      <c r="F34" s="13" t="str">
        <f t="array" ref="F34">IF(AND(E34=MAX(E$7:E$37), F$7:F33&lt;&gt;"+"), "+", IF(AND(E34=MIN(E$7:E$37), F$7:F33&lt;&gt;"-"), "-", ""))</f>
        <v/>
      </c>
      <c r="G34" s="34">
        <f>IF(ISBLANK('CWMS Data'!$N36), "", 'CWMS Data'!$N36)</f>
        <v>26800.000000000004</v>
      </c>
      <c r="H34" s="14" t="str">
        <f t="array" ref="H34">IF(AND(G34=MAX(G$7:G$37), H$7:H33&lt;&gt;"+"), "+", IF(AND(G34=MIN(G$7:G$37), H$7:H33&lt;&gt;"-"), "-", ""))</f>
        <v/>
      </c>
      <c r="I34" s="33">
        <f>IF(ISBLANK('CWMS Data'!$O36), "", 'CWMS Data'!$O36)</f>
        <v>0</v>
      </c>
      <c r="J34" s="14" t="str">
        <f t="array" ref="J34">IF(AND(I34=MAX(I$7:I$37), J$7:J33&lt;&gt;"+"), "+", IF(AND(I34=MIN(I$7:I$37), J$7:J33&lt;&gt;"-"), "-", ""))</f>
        <v/>
      </c>
      <c r="K34" s="119">
        <f t="shared" si="0"/>
        <v>26800.000000000004</v>
      </c>
      <c r="L34" s="14" t="str">
        <f t="array" ref="L34">IF(AND(K34=MAX(K$7:K$37), L$7:L33&lt;&gt;"+"), "+", IF(AND(K34=MIN(K$7:K$37), L$7:L33&lt;&gt;"-"), "-", ""))</f>
        <v/>
      </c>
      <c r="M34" s="77">
        <f>IF(ISBLANK('CWMS Data'!$P36), "", 'CWMS Data'!$P36)</f>
        <v>100.00000002825175</v>
      </c>
      <c r="N34" s="13" t="str">
        <f t="array" ref="N34">IF(AND(M34=MAX(M$7:M$37), N$7:N33&lt;&gt;"+"), "+", IF(AND(M34=MIN(M$7:M$37), N$7:N33&lt;&gt;"-"), "-", ""))</f>
        <v/>
      </c>
      <c r="O34" s="34">
        <f>IF(ISBLANK('CWMS Data'!$R36), "", 'CWMS Data'!$R36)</f>
        <v>14000.000000000002</v>
      </c>
      <c r="P34" s="13" t="str">
        <f t="array" ref="P34">IF(AND(O34=MAX(O$7:O$37), P$7:P33&lt;&gt;"+"), "+", IF(AND(O34=MIN(O$7:O$37), P$7:P33&lt;&gt;"-"), "-", ""))</f>
        <v/>
      </c>
      <c r="Q34" s="35"/>
      <c r="R34" s="35"/>
      <c r="S34" s="35"/>
    </row>
    <row r="35" spans="1:19" ht="15" x14ac:dyDescent="0.25">
      <c r="A35" s="30">
        <f>IF(ISBLANK('CWMS Data'!$B37), "", 'CWMS Data'!$B37)</f>
        <v>44072</v>
      </c>
      <c r="B35" s="31">
        <f>IF(ISBLANK('CWMS Data'!$U37), "", 'CWMS Data'!$U37)</f>
        <v>1840.7999999999997</v>
      </c>
      <c r="C35" s="13" t="str">
        <f t="array" ref="C35">IF(AND(B35=MAX(B$7:B$37), C$7:C34&lt;&gt;"+"), "+", IF(AND(B35=MIN(B$7:B$37), C$7:C34&lt;&gt;"-"), "-", ""))</f>
        <v/>
      </c>
      <c r="D35" s="32">
        <f>IF(ISBLANK('CWMS Data'!$M37), "", 'CWMS Data'!$M37)</f>
        <v>0</v>
      </c>
      <c r="E35" s="141">
        <f>IF(ISBLANK('CWMS Data'!$L37), "", 'CWMS Data'!$L37)</f>
        <v>2400</v>
      </c>
      <c r="F35" s="13" t="str">
        <f t="array" ref="F35">IF(AND(E35=MAX(E$7:E$37), F$7:F34&lt;&gt;"+"), "+", IF(AND(E35=MIN(E$7:E$37), F$7:F34&lt;&gt;"-"), "-", ""))</f>
        <v/>
      </c>
      <c r="G35" s="34">
        <f>IF(ISBLANK('CWMS Data'!$N37), "", 'CWMS Data'!$N37)</f>
        <v>26500</v>
      </c>
      <c r="H35" s="14" t="str">
        <f t="array" ref="H35">IF(AND(G35=MAX(G$7:G$37), H$7:H34&lt;&gt;"+"), "+", IF(AND(G35=MIN(G$7:G$37), H$7:H34&lt;&gt;"-"), "-", ""))</f>
        <v/>
      </c>
      <c r="I35" s="33">
        <f>IF(ISBLANK('CWMS Data'!$O37), "", 'CWMS Data'!$O37)</f>
        <v>0</v>
      </c>
      <c r="J35" s="14" t="str">
        <f t="array" ref="J35">IF(AND(I35=MAX(I$7:I$37), J$7:J34&lt;&gt;"+"), "+", IF(AND(I35=MIN(I$7:I$37), J$7:J34&lt;&gt;"-"), "-", ""))</f>
        <v/>
      </c>
      <c r="K35" s="119">
        <f t="shared" si="0"/>
        <v>26500</v>
      </c>
      <c r="L35" s="14" t="str">
        <f t="array" ref="L35">IF(AND(K35=MAX(K$7:K$37), L$7:L34&lt;&gt;"+"), "+", IF(AND(K35=MIN(K$7:K$37), L$7:L34&lt;&gt;"-"), "-", ""))</f>
        <v/>
      </c>
      <c r="M35" s="77">
        <f>IF(ISBLANK('CWMS Data'!$P37), "", 'CWMS Data'!$P37)</f>
        <v>100.00000002825175</v>
      </c>
      <c r="N35" s="13" t="str">
        <f t="array" ref="N35">IF(AND(M35=MAX(M$7:M$37), N$7:N34&lt;&gt;"+"), "+", IF(AND(M35=MIN(M$7:M$37), N$7:N34&lt;&gt;"-"), "-", ""))</f>
        <v/>
      </c>
      <c r="O35" s="34">
        <f>IF(ISBLANK('CWMS Data'!$R37), "", 'CWMS Data'!$R37)</f>
        <v>14000.000000000002</v>
      </c>
      <c r="P35" s="13" t="str">
        <f t="array" ref="P35">IF(AND(O35=MAX(O$7:O$37), P$7:P34&lt;&gt;"+"), "+", IF(AND(O35=MIN(O$7:O$37), P$7:P34&lt;&gt;"-"), "-", ""))</f>
        <v/>
      </c>
      <c r="Q35" s="35"/>
      <c r="R35" s="35"/>
      <c r="S35" s="35"/>
    </row>
    <row r="36" spans="1:19" ht="15" x14ac:dyDescent="0.25">
      <c r="A36" s="30">
        <f>IF(ISBLANK('CWMS Data'!$B38), "", 'CWMS Data'!$B38)</f>
        <v>44073</v>
      </c>
      <c r="B36" s="31">
        <f>IF(ISBLANK('CWMS Data'!$U38), "", 'CWMS Data'!$U38)</f>
        <v>1840.93</v>
      </c>
      <c r="C36" s="13" t="str">
        <f t="array" ref="C36">IF(AND(B36=MAX(B$7:B$37), C$7:C35&lt;&gt;"+"), "+", IF(AND(B36=MIN(B$7:B$37), C$7:C35&lt;&gt;"-"), "-", ""))</f>
        <v/>
      </c>
      <c r="D36" s="32">
        <f>IF(ISBLANK('CWMS Data'!$M38), "", 'CWMS Data'!$M38)</f>
        <v>0</v>
      </c>
      <c r="E36" s="141">
        <f>IF(ISBLANK('CWMS Data'!$L38), "", 'CWMS Data'!$L38)</f>
        <v>2400</v>
      </c>
      <c r="F36" s="13" t="str">
        <f t="array" ref="F36">IF(AND(E36=MAX(E$7:E$37), F$7:F35&lt;&gt;"+"), "+", IF(AND(E36=MIN(E$7:E$37), F$7:F35&lt;&gt;"-"), "-", ""))</f>
        <v/>
      </c>
      <c r="G36" s="34">
        <f>IF(ISBLANK('CWMS Data'!$N38), "", 'CWMS Data'!$N38)</f>
        <v>27100.000000000004</v>
      </c>
      <c r="H36" s="14" t="str">
        <f t="array" ref="H36">IF(AND(G36=MAX(G$7:G$37), H$7:H35&lt;&gt;"+"), "+", IF(AND(G36=MIN(G$7:G$37), H$7:H35&lt;&gt;"-"), "-", ""))</f>
        <v/>
      </c>
      <c r="I36" s="33">
        <f>IF(ISBLANK('CWMS Data'!$O38), "", 'CWMS Data'!$O38)</f>
        <v>0</v>
      </c>
      <c r="J36" s="14" t="str">
        <f t="array" ref="J36">IF(AND(I36=MAX(I$7:I$37), J$7:J35&lt;&gt;"+"), "+", IF(AND(I36=MIN(I$7:I$37), J$7:J35&lt;&gt;"-"), "-", ""))</f>
        <v/>
      </c>
      <c r="K36" s="119">
        <f t="shared" si="0"/>
        <v>27100.000000000004</v>
      </c>
      <c r="L36" s="14" t="str">
        <f t="array" ref="L36">IF(AND(K36=MAX(K$7:K$37), L$7:L35&lt;&gt;"+"), "+", IF(AND(K36=MIN(K$7:K$37), L$7:L35&lt;&gt;"-"), "-", ""))</f>
        <v/>
      </c>
      <c r="M36" s="77">
        <f>IF(ISBLANK('CWMS Data'!$P38), "", 'CWMS Data'!$P38)</f>
        <v>100.00000002825175</v>
      </c>
      <c r="N36" s="13" t="str">
        <f t="array" ref="N36">IF(AND(M36=MAX(M$7:M$37), N$7:N35&lt;&gt;"+"), "+", IF(AND(M36=MIN(M$7:M$37), N$7:N35&lt;&gt;"-"), "-", ""))</f>
        <v/>
      </c>
      <c r="O36" s="34">
        <f>IF(ISBLANK('CWMS Data'!$R38), "", 'CWMS Data'!$R38)</f>
        <v>14000.000000000002</v>
      </c>
      <c r="P36" s="13" t="str">
        <f t="array" ref="P36">IF(AND(O36=MAX(O$7:O$37), P$7:P35&lt;&gt;"+"), "+", IF(AND(O36=MIN(O$7:O$37), P$7:P35&lt;&gt;"-"), "-", ""))</f>
        <v/>
      </c>
      <c r="Q36" s="35"/>
      <c r="R36" s="35"/>
      <c r="S36" s="35"/>
    </row>
    <row r="37" spans="1:19" ht="15" x14ac:dyDescent="0.25">
      <c r="A37" s="30">
        <f>IF(ISBLANK('CWMS Data'!$B39), "", 'CWMS Data'!$B39)</f>
        <v>44074</v>
      </c>
      <c r="B37" s="31">
        <f>IF(ISBLANK('CWMS Data'!$U39), "", 'CWMS Data'!$U39)</f>
        <v>1840.7099999999998</v>
      </c>
      <c r="C37" s="13" t="str">
        <f t="array" ref="C37">IF(AND(B37=MAX(B$7:B$37), C$7:C36&lt;&gt;"+"), "+", IF(AND(B37=MIN(B$7:B$37), C$7:C36&lt;&gt;"-"), "-", ""))</f>
        <v>-</v>
      </c>
      <c r="D37" s="32">
        <f>IF(ISBLANK('CWMS Data'!$M39), "", 'CWMS Data'!$M39)</f>
        <v>0</v>
      </c>
      <c r="E37" s="131">
        <f>IF(ISBLANK('CWMS Data'!$L39), "", 'CWMS Data'!$L39)</f>
        <v>2400</v>
      </c>
      <c r="F37" s="13" t="str">
        <f t="array" ref="F37">IF(AND(E37=MAX(E$7:E$37), F$7:F36&lt;&gt;"+"), "+", IF(AND(E37=MIN(E$7:E$37), F$7:F36&lt;&gt;"-"), "-", ""))</f>
        <v/>
      </c>
      <c r="G37" s="34">
        <f>IF(ISBLANK('CWMS Data'!$N39), "", 'CWMS Data'!$N39)</f>
        <v>26800.000000000004</v>
      </c>
      <c r="H37" s="15" t="str">
        <f t="array" ref="H37">IF(AND(G37=MAX(G$7:G$37), H$7:H36&lt;&gt;"+"), "+", IF(AND(G37=MIN(G$7:G$37), H$7:H36&lt;&gt;"-"), "-", ""))</f>
        <v/>
      </c>
      <c r="I37" s="33">
        <f>IF(ISBLANK('CWMS Data'!$O39), "", 'CWMS Data'!$O39)</f>
        <v>0</v>
      </c>
      <c r="J37" s="15" t="str">
        <f t="array" ref="J37">IF(AND(I37=MAX(I$7:I$37), J$7:J36&lt;&gt;"+"), "+", IF(AND(I37=MIN(I$7:I$37), J$7:J36&lt;&gt;"-"), "-", ""))</f>
        <v/>
      </c>
      <c r="K37" s="117">
        <f>IF(A37="","",I37+G37)</f>
        <v>26800.000000000004</v>
      </c>
      <c r="L37" s="14" t="str">
        <f t="array" ref="L37">IF(AND(K37=MAX(K$7:K$37), L$7:L36&lt;&gt;"+"), "+", IF(AND(K37=MIN(K$7:K$37), L$7:L36&lt;&gt;"-"), "-", ""))</f>
        <v/>
      </c>
      <c r="M37" s="77">
        <f>IF(ISBLANK('CWMS Data'!$P39), "", 'CWMS Data'!$P39)</f>
        <v>100.00000002825175</v>
      </c>
      <c r="N37" s="13" t="str">
        <f t="array" ref="N37">IF(AND(M37=MAX(M$7:M$37), N$7:N36&lt;&gt;"+"), "+", IF(AND(M37=MIN(M$7:M$37), N$7:N36&lt;&gt;"-"), "-", ""))</f>
        <v/>
      </c>
      <c r="O37" s="34">
        <f>IF(ISBLANK('CWMS Data'!$R39), "", 'CWMS Data'!$R39)</f>
        <v>14000.000000000002</v>
      </c>
      <c r="P37" s="13" t="str">
        <f t="array" ref="P37">IF(AND(O37=MAX(O$7:O$37), P$7:P36&lt;&gt;"+"), "+", IF(AND(O37=MIN(O$7:O$37), P$7:P36&lt;&gt;"-"), "-", ""))</f>
        <v/>
      </c>
      <c r="Q37" s="35"/>
      <c r="R37" s="35"/>
      <c r="S37" s="35"/>
    </row>
    <row r="38" spans="1:19" ht="15" x14ac:dyDescent="0.25">
      <c r="A38" s="155" t="s">
        <v>0</v>
      </c>
      <c r="B38" s="156"/>
      <c r="C38" s="186"/>
      <c r="D38" s="38">
        <f>SUM(D7:D37)</f>
        <v>0</v>
      </c>
      <c r="E38" s="39">
        <f>ROUND(SUM(E7:E37),-2)</f>
        <v>75500</v>
      </c>
      <c r="F38" s="40"/>
      <c r="G38" s="41">
        <f>ROUND(SUM(G7:G37),-2)</f>
        <v>837700</v>
      </c>
      <c r="H38" s="42"/>
      <c r="I38" s="39">
        <f>ROUND(SUM(I7:I37),-2)</f>
        <v>0</v>
      </c>
      <c r="J38" s="43"/>
      <c r="K38" s="39">
        <f>ROUND(SUM(K7:K37),-2)</f>
        <v>837700</v>
      </c>
      <c r="L38" s="43"/>
      <c r="M38" s="39">
        <f>ROUND(SUM(M7:M37),-2)</f>
        <v>1000</v>
      </c>
      <c r="N38" s="44"/>
      <c r="O38" s="41">
        <f>ROUND(SUM(O7:O37),-3)</f>
        <v>462000</v>
      </c>
      <c r="P38" s="44"/>
      <c r="Q38" s="35"/>
      <c r="R38" s="35"/>
      <c r="S38" s="35"/>
    </row>
    <row r="39" spans="1:19" ht="15" x14ac:dyDescent="0.25">
      <c r="A39" s="187" t="s">
        <v>1</v>
      </c>
      <c r="B39" s="188"/>
      <c r="C39" s="189"/>
      <c r="D39" s="45"/>
      <c r="E39" s="46">
        <f>ROUND(SUM(E7:E37)*(86400/43560),-2)</f>
        <v>149800</v>
      </c>
      <c r="F39" s="47"/>
      <c r="G39" s="46">
        <f>ROUND(SUM(G7:G37)*(86400/43560),-3)</f>
        <v>1662000</v>
      </c>
      <c r="H39" s="49"/>
      <c r="I39" s="46">
        <f>ROUND(I38*(1.9835),-3)</f>
        <v>0</v>
      </c>
      <c r="J39" s="50"/>
      <c r="K39" s="46">
        <f>ROUND(K38*(1.9835),-3)</f>
        <v>1662000</v>
      </c>
      <c r="L39" s="50"/>
      <c r="M39" s="46">
        <f>ROUND(M38*(1.9835),-3)</f>
        <v>2000</v>
      </c>
      <c r="N39" s="51"/>
      <c r="O39" s="48">
        <f>ROUND(O38*(1.9835),-3)</f>
        <v>916000</v>
      </c>
      <c r="P39" s="51"/>
      <c r="Q39" s="121"/>
    </row>
    <row r="40" spans="1:19" ht="15" x14ac:dyDescent="0.25">
      <c r="A40" s="17" t="s">
        <v>2</v>
      </c>
      <c r="B40" s="52">
        <f>AVERAGE(B7:B37)</f>
        <v>1842.0538709677419</v>
      </c>
      <c r="C40" s="53"/>
      <c r="D40" s="54">
        <f>AVERAGE(D7:D37)</f>
        <v>0</v>
      </c>
      <c r="E40" s="46">
        <f>ROUND(AVERAGE(E7:E37),-2)</f>
        <v>2400</v>
      </c>
      <c r="F40" s="47"/>
      <c r="G40" s="55">
        <f>ROUND(AVERAGE(G7:G37),-2)</f>
        <v>27000</v>
      </c>
      <c r="H40" s="56"/>
      <c r="I40" s="57">
        <f>ROUND(AVERAGE(I7:I37),-2)</f>
        <v>0</v>
      </c>
      <c r="J40" s="58"/>
      <c r="K40" s="57">
        <f>ROUND(AVERAGE(K7:K37),-2)</f>
        <v>27000</v>
      </c>
      <c r="L40" s="58"/>
      <c r="M40" s="57">
        <f>ROUND(AVERAGE(M7:M37),-2)</f>
        <v>0</v>
      </c>
      <c r="N40" s="59"/>
      <c r="O40" s="46">
        <f>ROUND(AVERAGE(O7:O37),-2)</f>
        <v>14900</v>
      </c>
      <c r="P40" s="51"/>
      <c r="Q40" s="121"/>
    </row>
    <row r="41" spans="1:19" ht="15" x14ac:dyDescent="0.25">
      <c r="A41" s="155" t="s">
        <v>25</v>
      </c>
      <c r="B41" s="156"/>
      <c r="C41" s="156"/>
      <c r="D41" s="156"/>
      <c r="E41" s="18" t="s">
        <v>31</v>
      </c>
      <c r="F41" s="157">
        <f>INDEX('CWMS Data'!$B$8:$BE$39,MATCH(MAX($A$7:$A$37),'CWMS Data'!$B$8:$B$39,0), 19)</f>
        <v>18783000</v>
      </c>
      <c r="G41" s="157"/>
      <c r="H41" s="62"/>
      <c r="I41" s="62"/>
      <c r="J41" s="61"/>
      <c r="K41" s="18"/>
      <c r="L41" s="153" t="s">
        <v>44</v>
      </c>
      <c r="M41" s="153"/>
      <c r="N41" s="157">
        <f>INDEX('CWMS Data'!$B$8:$BE$39,MATCH(MAX($A$7:$A$37),'CWMS Data'!$B$8:$B$39,0), 19)-'CWMS Data'!T8</f>
        <v>-897000</v>
      </c>
      <c r="O41" s="157"/>
      <c r="P41" s="64"/>
      <c r="Q41" s="121"/>
    </row>
    <row r="42" spans="1:19" ht="15" x14ac:dyDescent="0.25">
      <c r="A42" s="19" t="str">
        <f>TEXT("+ Max", 0)</f>
        <v>+ Max</v>
      </c>
      <c r="B42" s="60"/>
      <c r="C42" s="61"/>
      <c r="D42" s="154" t="s">
        <v>46</v>
      </c>
      <c r="E42" s="154"/>
      <c r="F42" s="157">
        <f>MAX('CWMS Data'!T9:T39)</f>
        <v>19650999.999999996</v>
      </c>
      <c r="G42" s="157"/>
      <c r="H42" s="62"/>
      <c r="I42" s="62"/>
      <c r="J42" s="61"/>
      <c r="K42" s="154" t="s">
        <v>54</v>
      </c>
      <c r="L42" s="154"/>
      <c r="M42" s="154"/>
      <c r="N42" s="157">
        <f>MIN('CWMS Data'!T9:T39)</f>
        <v>18783000</v>
      </c>
      <c r="O42" s="157"/>
      <c r="P42" s="65"/>
      <c r="Q42" s="121"/>
      <c r="R42" s="121"/>
      <c r="S42" s="121"/>
    </row>
    <row r="43" spans="1:19" ht="15" x14ac:dyDescent="0.25">
      <c r="A43" s="19" t="str">
        <f>TEXT("- Min", 0)</f>
        <v>- Min</v>
      </c>
      <c r="B43" s="60"/>
      <c r="C43" s="61"/>
      <c r="D43" s="185" t="s">
        <v>45</v>
      </c>
      <c r="E43" s="185"/>
      <c r="F43" s="66" t="str">
        <f t="array" ref="F43">TEXT(SUM(IF('CWMS Data'!S9:S39&lt;&gt;-901,'CWMS Data'!S9:S39)), "0.00")&amp;" inches"</f>
        <v>0.00 inches</v>
      </c>
      <c r="G43" s="66"/>
      <c r="H43" s="62"/>
      <c r="I43" s="62"/>
      <c r="J43" s="61"/>
      <c r="K43" s="62"/>
      <c r="L43" s="61"/>
      <c r="M43" s="62"/>
      <c r="N43" s="61"/>
      <c r="O43" s="62"/>
      <c r="P43" s="65"/>
    </row>
    <row r="44" spans="1:19" x14ac:dyDescent="0.2">
      <c r="A44" s="190" t="s">
        <v>89</v>
      </c>
      <c r="B44" s="191"/>
      <c r="C44" s="191"/>
      <c r="D44" s="191"/>
      <c r="E44" s="191"/>
      <c r="F44" s="191"/>
      <c r="G44" s="191"/>
      <c r="H44" s="191"/>
      <c r="I44" s="191"/>
      <c r="J44" s="191"/>
      <c r="K44" s="191"/>
      <c r="L44" s="191"/>
      <c r="M44" s="191"/>
      <c r="N44" s="191"/>
      <c r="O44" s="196">
        <f>F3</f>
        <v>44044</v>
      </c>
      <c r="P44" s="197"/>
    </row>
    <row r="45" spans="1:19" x14ac:dyDescent="0.2">
      <c r="A45" s="192"/>
      <c r="B45" s="193"/>
      <c r="C45" s="193"/>
      <c r="D45" s="193"/>
      <c r="E45" s="193"/>
      <c r="F45" s="193"/>
      <c r="G45" s="193"/>
      <c r="H45" s="193"/>
      <c r="I45" s="193"/>
      <c r="J45" s="193"/>
      <c r="K45" s="193"/>
      <c r="L45" s="193"/>
      <c r="M45" s="193"/>
      <c r="N45" s="193"/>
      <c r="O45" s="198"/>
      <c r="P45" s="199"/>
    </row>
    <row r="46" spans="1:19" x14ac:dyDescent="0.2">
      <c r="A46" s="194"/>
      <c r="B46" s="195"/>
      <c r="C46" s="195"/>
      <c r="D46" s="195"/>
      <c r="E46" s="195"/>
      <c r="F46" s="195"/>
      <c r="G46" s="195"/>
      <c r="H46" s="195"/>
      <c r="I46" s="195"/>
      <c r="J46" s="195"/>
      <c r="K46" s="195"/>
      <c r="L46" s="195"/>
      <c r="M46" s="195"/>
      <c r="N46" s="195"/>
      <c r="O46" s="200"/>
      <c r="P46" s="201"/>
    </row>
    <row r="47" spans="1:19" x14ac:dyDescent="0.2">
      <c r="O47" s="35"/>
      <c r="P47" s="35"/>
    </row>
  </sheetData>
  <sheetProtection formatCells="0"/>
  <mergeCells count="30">
    <mergeCell ref="R1:S1"/>
    <mergeCell ref="N42:O42"/>
    <mergeCell ref="D4:F4"/>
    <mergeCell ref="B6:C6"/>
    <mergeCell ref="A1:P1"/>
    <mergeCell ref="A2:E2"/>
    <mergeCell ref="F2:P2"/>
    <mergeCell ref="A3:E3"/>
    <mergeCell ref="F3:H3"/>
    <mergeCell ref="I3:P3"/>
    <mergeCell ref="G4:P4"/>
    <mergeCell ref="B5:C5"/>
    <mergeCell ref="G5:N5"/>
    <mergeCell ref="O5:P5"/>
    <mergeCell ref="K42:M42"/>
    <mergeCell ref="A44:N46"/>
    <mergeCell ref="O44:P46"/>
    <mergeCell ref="R6:U6"/>
    <mergeCell ref="R7:U7"/>
    <mergeCell ref="R8:U8"/>
    <mergeCell ref="F41:G41"/>
    <mergeCell ref="N41:O41"/>
    <mergeCell ref="A38:C38"/>
    <mergeCell ref="A39:C39"/>
    <mergeCell ref="A41:D41"/>
    <mergeCell ref="D42:E42"/>
    <mergeCell ref="D43:E43"/>
    <mergeCell ref="L41:M41"/>
    <mergeCell ref="R9:S9"/>
    <mergeCell ref="F42:G42"/>
  </mergeCells>
  <conditionalFormatting sqref="M7:P37 A7:J37">
    <cfRule type="expression" dxfId="16" priority="7">
      <formula>AND(DAY($A7) / 5 = INT(DAY($A7) / 5), DAY($A7)&lt;&gt;30)</formula>
    </cfRule>
  </conditionalFormatting>
  <conditionalFormatting sqref="L37:P37 K7:P36">
    <cfRule type="expression" dxfId="15" priority="5">
      <formula>AND(DAY($A7) / 5 = INT(DAY($A7) / 5), DAY($A7)&lt;&gt;30)</formula>
    </cfRule>
  </conditionalFormatting>
  <conditionalFormatting sqref="K7:K37">
    <cfRule type="expression" dxfId="14" priority="3">
      <formula>AND(DAY($A7) / 5 = INT(DAY($A7) / 5), DAY($A7)&lt;&gt;30)</formula>
    </cfRule>
  </conditionalFormatting>
  <conditionalFormatting sqref="T9">
    <cfRule type="cellIs" dxfId="13" priority="1" operator="notBetween">
      <formula>-99.9999999</formula>
      <formula>99.9999999</formula>
    </cfRule>
  </conditionalFormatting>
  <dataValidations count="3">
    <dataValidation type="list" allowBlank="1" showInputMessage="1" showErrorMessage="1" sqref="T1" xr:uid="{00000000-0002-0000-0100-000000000000}">
      <formula1>"No, Yes"</formula1>
    </dataValidation>
    <dataValidation type="custom" allowBlank="1" showInputMessage="1" showErrorMessage="1" errorTitle="Protected Cell" error="This cell is protected.  To edit, change cell T1 to &quot;No&quot;." sqref="P7:P37 O44:P46 A1:P6 L7:N37 F7:J37 A7:D43 H38:P43 E38:G38 E40:G43" xr:uid="{00000000-0002-0000-0100-000001000000}">
      <formula1>IF($T$1 = "Yes", FALSE, TRUE)</formula1>
    </dataValidation>
    <dataValidation type="custom" allowBlank="1" showInputMessage="1" showErrorMessage="1" errorTitle="Protected Cell" error="This cell is protected.  To edit, change cell R1 to &quot;No&quot;." sqref="K7:K37 E39:G39" xr:uid="{00000000-0002-0000-0100-000002000000}">
      <formula1>IF($R$1 = "Yes", FALSE, TRUE)</formula1>
    </dataValidation>
  </dataValidations>
  <printOptions horizontalCentered="1" verticalCentered="1"/>
  <pageMargins left="0.4" right="0.4" top="0.5" bottom="0.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055C74D3-222E-4828-9B88-B683DF61BBA4}">
            <xm:f>K7&lt;&gt;'CWMS Data'!Q9</xm:f>
            <x14:dxf>
              <font>
                <b/>
                <i val="0"/>
                <color theme="5"/>
              </font>
              <fill>
                <patternFill>
                  <bgColor theme="5" tint="0.79998168889431442"/>
                </patternFill>
              </fill>
            </x14:dxf>
          </x14:cfRule>
          <xm:sqref>K7:K37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AF47"/>
  <sheetViews>
    <sheetView zoomScale="90" zoomScaleNormal="90" workbookViewId="0">
      <selection activeCell="G25" sqref="G25"/>
    </sheetView>
  </sheetViews>
  <sheetFormatPr defaultColWidth="9.140625" defaultRowHeight="14.25" x14ac:dyDescent="0.2"/>
  <cols>
    <col min="1" max="1" width="8" style="24" customWidth="1"/>
    <col min="2" max="2" width="11" style="24" customWidth="1"/>
    <col min="3" max="3" width="2" style="24" customWidth="1"/>
    <col min="4" max="5" width="9.85546875" style="24" customWidth="1"/>
    <col min="6" max="6" width="2" style="24" customWidth="1"/>
    <col min="7" max="7" width="9.85546875" style="24" customWidth="1"/>
    <col min="8" max="8" width="2" style="24" customWidth="1"/>
    <col min="9" max="9" width="9.85546875" style="24" customWidth="1"/>
    <col min="10" max="10" width="2" style="24" customWidth="1"/>
    <col min="11" max="11" width="9.85546875" style="24" customWidth="1"/>
    <col min="12" max="12" width="2" style="24" customWidth="1"/>
    <col min="13" max="13" width="9.85546875" style="24" customWidth="1"/>
    <col min="14" max="14" width="2" style="24" customWidth="1"/>
    <col min="15" max="15" width="9.28515625" style="24" customWidth="1"/>
    <col min="16" max="16" width="11" style="24" bestFit="1" customWidth="1"/>
    <col min="17" max="17" width="10.140625" style="24" customWidth="1"/>
    <col min="18" max="20" width="9.140625" style="24"/>
    <col min="21" max="21" width="11.7109375" style="24" bestFit="1" customWidth="1"/>
    <col min="22" max="23" width="9.140625" style="24"/>
    <col min="24" max="24" width="12" style="24" customWidth="1"/>
    <col min="25" max="16384" width="9.140625" style="24"/>
  </cols>
  <sheetData>
    <row r="1" spans="1:32" ht="15.75" x14ac:dyDescent="0.25">
      <c r="A1" s="160" t="s">
        <v>43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23"/>
      <c r="P1" s="184" t="s">
        <v>67</v>
      </c>
      <c r="Q1" s="184"/>
      <c r="R1" s="116" t="s">
        <v>68</v>
      </c>
    </row>
    <row r="2" spans="1:32" ht="15.75" x14ac:dyDescent="0.25">
      <c r="A2" s="160" t="s">
        <v>26</v>
      </c>
      <c r="B2" s="160"/>
      <c r="C2" s="160"/>
      <c r="D2" s="160"/>
      <c r="E2" s="160"/>
      <c r="F2" s="160" t="s">
        <v>36</v>
      </c>
      <c r="G2" s="160"/>
      <c r="H2" s="160"/>
      <c r="I2" s="160"/>
      <c r="J2" s="160"/>
      <c r="K2" s="160"/>
      <c r="L2" s="160"/>
      <c r="M2" s="160"/>
      <c r="N2" s="160"/>
      <c r="Y2" s="23"/>
      <c r="Z2" s="23"/>
      <c r="AA2" s="23"/>
      <c r="AB2" s="23"/>
      <c r="AC2" s="23"/>
      <c r="AD2" s="23"/>
      <c r="AE2" s="23"/>
      <c r="AF2" s="23"/>
    </row>
    <row r="3" spans="1:32" ht="15" x14ac:dyDescent="0.25">
      <c r="A3" s="164" t="s">
        <v>52</v>
      </c>
      <c r="B3" s="164"/>
      <c r="C3" s="164"/>
      <c r="D3" s="164"/>
      <c r="E3" s="164"/>
      <c r="F3" s="165">
        <f>'CWMS Data'!$B$9</f>
        <v>44044</v>
      </c>
      <c r="G3" s="165"/>
      <c r="H3" s="165"/>
      <c r="I3" s="166" t="s">
        <v>35</v>
      </c>
      <c r="J3" s="167"/>
      <c r="K3" s="167"/>
      <c r="L3" s="167"/>
      <c r="M3" s="167"/>
      <c r="N3" s="167"/>
    </row>
    <row r="4" spans="1:32" ht="15" x14ac:dyDescent="0.25">
      <c r="A4" s="69"/>
      <c r="B4" s="69"/>
      <c r="C4" s="7"/>
      <c r="D4" s="179" t="s">
        <v>56</v>
      </c>
      <c r="E4" s="180"/>
      <c r="F4" s="181"/>
      <c r="G4" s="168" t="s">
        <v>34</v>
      </c>
      <c r="H4" s="169"/>
      <c r="I4" s="169"/>
      <c r="J4" s="169"/>
      <c r="K4" s="169"/>
      <c r="L4" s="170"/>
      <c r="M4" s="170"/>
      <c r="N4" s="171"/>
      <c r="O4" s="25"/>
    </row>
    <row r="5" spans="1:32" ht="15" x14ac:dyDescent="0.25">
      <c r="A5" s="8">
        <f>$F$3</f>
        <v>44044</v>
      </c>
      <c r="B5" s="172" t="s">
        <v>27</v>
      </c>
      <c r="C5" s="173"/>
      <c r="D5" s="21" t="s">
        <v>57</v>
      </c>
      <c r="E5" s="22" t="s">
        <v>58</v>
      </c>
      <c r="F5" s="26"/>
      <c r="G5" s="174" t="s">
        <v>28</v>
      </c>
      <c r="H5" s="174"/>
      <c r="I5" s="174"/>
      <c r="J5" s="175"/>
      <c r="K5" s="175"/>
      <c r="L5" s="176"/>
      <c r="M5" s="177" t="s">
        <v>29</v>
      </c>
      <c r="N5" s="178"/>
    </row>
    <row r="6" spans="1:32" ht="15" x14ac:dyDescent="0.25">
      <c r="A6" s="9">
        <f>$F$3</f>
        <v>44044</v>
      </c>
      <c r="B6" s="182" t="s">
        <v>42</v>
      </c>
      <c r="C6" s="183"/>
      <c r="D6" s="20" t="s">
        <v>40</v>
      </c>
      <c r="E6" s="68" t="s">
        <v>41</v>
      </c>
      <c r="F6" s="27"/>
      <c r="G6" s="68" t="s">
        <v>37</v>
      </c>
      <c r="H6" s="68"/>
      <c r="I6" s="68" t="s">
        <v>38</v>
      </c>
      <c r="J6" s="68"/>
      <c r="K6" s="68" t="s">
        <v>39</v>
      </c>
      <c r="L6" s="12"/>
      <c r="M6" s="20"/>
      <c r="N6" s="28"/>
      <c r="O6" s="29"/>
      <c r="P6" s="161" t="s">
        <v>55</v>
      </c>
      <c r="Q6" s="162"/>
      <c r="R6" s="162"/>
      <c r="S6" s="163"/>
    </row>
    <row r="7" spans="1:32" ht="15" x14ac:dyDescent="0.25">
      <c r="A7" s="30">
        <f>IF(ISBLANK('CWMS Data'!$B9), "", 'CWMS Data'!$B9)</f>
        <v>44044</v>
      </c>
      <c r="B7" s="31">
        <f>IF(ISBLANK('CWMS Data'!$AD9), "", 'CWMS Data'!$AD9)</f>
        <v>1612.2699999999998</v>
      </c>
      <c r="C7" s="13" t="str">
        <f>IF(B7=MAX(B$7:B$37),"+", IF(B7=MIN(B$7:B$37), "-", ""))</f>
        <v/>
      </c>
      <c r="D7" s="32">
        <f>IF(ISBLANK('CWMS Data'!$W9), "", 'CWMS Data'!$W9)</f>
        <v>0</v>
      </c>
      <c r="E7" s="120">
        <f>IF(ISBLANK('CWMS Data'!$V9), "", 'CWMS Data'!$V9)</f>
        <v>1100.0000000000002</v>
      </c>
      <c r="F7" s="13" t="str">
        <f>IF(E7=MAX(E$7:E$37),"+", IF(E7=MIN(E$7:E$37), "-", ""))</f>
        <v>-</v>
      </c>
      <c r="G7" s="34">
        <f>IF(ISBLANK('CWMS Data'!$X9), "", 'CWMS Data'!$X9)</f>
        <v>27000.000000000004</v>
      </c>
      <c r="H7" s="16" t="str">
        <f>IF(G7=MAX(G$7:G$37),"+", IF(G7=MIN(G$7:G$37), "-", ""))</f>
        <v/>
      </c>
      <c r="I7" s="63">
        <f>IF(ISBLANK('CWMS Data'!$Y9), "", 'CWMS Data'!$Y9)</f>
        <v>0</v>
      </c>
      <c r="J7" s="16" t="str">
        <f>IF(I7=MAX(I$7:I$37),"+", IF(I7=MIN(I$7:I$37), "-", ""))</f>
        <v>+</v>
      </c>
      <c r="K7" s="119">
        <f t="shared" ref="K7:K36" si="0">IF(A7="","",I7+G7)</f>
        <v>27000.000000000004</v>
      </c>
      <c r="L7" s="13" t="str">
        <f>IF(K7=MAX(K$7:K$37),"+", IF(K7=MIN(K$7:K$37), "-", ""))</f>
        <v/>
      </c>
      <c r="M7" s="34">
        <f>IF(ISBLANK('CWMS Data'!$AA9), "", 'CWMS Data'!$AA9)</f>
        <v>29000.000000000004</v>
      </c>
      <c r="N7" s="13" t="str">
        <f>IF(M7=MAX(M$7:M$37),"+", IF(M7=MIN(M$7:M$37), "-", ""))</f>
        <v>+</v>
      </c>
      <c r="O7" s="35"/>
      <c r="P7" s="147" t="str">
        <f>IF(ROUND(OAHE_Storage_Diff_cfs, -3)&lt;0, "Add " &amp; ABS(ROUNDDOWN(OAHE_Storage_Diff_cfs, -3)) &amp; " cfs to inflow", "Subtract " &amp; IF(ABS(OAHE_Storage_Diff_acft) &lt; 100, 0, ABS(ROUNDDOWN(OAHE_Storage_Diff_cfs, -3))) &amp; " cfs to inflow")</f>
        <v>Subtract 0 cfs to inflow</v>
      </c>
      <c r="Q7" s="148"/>
      <c r="R7" s="148"/>
      <c r="S7" s="149"/>
    </row>
    <row r="8" spans="1:32" ht="15" x14ac:dyDescent="0.25">
      <c r="A8" s="30">
        <f>IF(ISBLANK('CWMS Data'!$B10), "", 'CWMS Data'!$B10)</f>
        <v>44045</v>
      </c>
      <c r="B8" s="31">
        <f>IF(ISBLANK('CWMS Data'!$AD10), "", 'CWMS Data'!$AD10)</f>
        <v>1612.25</v>
      </c>
      <c r="C8" s="13" t="str">
        <f t="array" ref="C8">IF(AND(B8=MAX(B$7:B$37), C$7:C7&lt;&gt;"+"), "+", IF(AND(B8=MIN(B$7:B$37), C$7:C7&lt;&gt;"-"), "-", ""))</f>
        <v/>
      </c>
      <c r="D8" s="32">
        <f>IF(ISBLANK('CWMS Data'!$W10), "", 'CWMS Data'!$W10)</f>
        <v>0</v>
      </c>
      <c r="E8" s="144">
        <v>2000</v>
      </c>
      <c r="F8" s="13" t="str">
        <f t="array" ref="F8">IF(AND(E8=MAX(E$7:E$37), F$7:F7&lt;&gt;"+"), "+", IF(AND(E8=MIN(E$7:E$37), F$7:F7&lt;&gt;"-"), "-", ""))</f>
        <v/>
      </c>
      <c r="G8" s="34">
        <f>IF(ISBLANK('CWMS Data'!$X10), "", 'CWMS Data'!$X10)</f>
        <v>23500</v>
      </c>
      <c r="H8" s="14" t="str">
        <f t="array" ref="H8">IF(AND(G8=MAX(G$7:G$37), H$7:H7&lt;&gt;"+"), "+", IF(AND(G8=MIN(G$7:G$37), H$7:H7&lt;&gt;"-"), "-", ""))</f>
        <v/>
      </c>
      <c r="I8" s="63">
        <f>IF(ISBLANK('CWMS Data'!$Y10), "", 'CWMS Data'!$Y10)</f>
        <v>0</v>
      </c>
      <c r="J8" s="14" t="str">
        <f t="array" ref="J8">IF(AND(I8=MAX(I$7:I$37), J$7:J7&lt;&gt;"+"), "+", IF(AND(I8=MIN(I$7:I$37), J$7:J7&lt;&gt;"-"), "-", ""))</f>
        <v>-</v>
      </c>
      <c r="K8" s="119">
        <f t="shared" si="0"/>
        <v>23500</v>
      </c>
      <c r="L8" s="13" t="str">
        <f t="array" ref="L8">IF(AND(K8=MAX(K$7:K$37), L$7:L7&lt;&gt;"+"), "+", IF(AND(K8=MIN(K$7:K$37), L$7:L7&lt;&gt;"-"), "-", ""))</f>
        <v/>
      </c>
      <c r="M8" s="34">
        <f>IF(ISBLANK('CWMS Data'!$AA10), "", 'CWMS Data'!$AA10)</f>
        <v>29000.000000000004</v>
      </c>
      <c r="N8" s="13" t="str">
        <f t="array" ref="N8">IF(AND(M8=MAX(M$7:M$37), N$7:N7&lt;&gt;"+"), "+", IF(AND(M8=MIN(M$7:M$37), N$7:N7&lt;&gt;"-"), "-", ""))</f>
        <v/>
      </c>
      <c r="O8" s="35"/>
      <c r="P8" s="150" t="str">
        <f>IF(ROUND(ROUNDDOWN(OAHE_Storage_Diff_cfs, -3) - OAHE_Storage_Diff_cfs, -2)&lt;0, "Add ", "Subtract ") &amp; IF(ABS(OAHE_Storage_Diff_acft) &lt; 100, 0, ABS(ROUND(ROUNDDOWN(OAHE_Storage_Diff_cfs, -3) - OAHE_Storage_Diff_cfs, -2))) &amp; " cfs to evap"</f>
        <v>Subtract 0 cfs to evap</v>
      </c>
      <c r="Q8" s="151"/>
      <c r="R8" s="151"/>
      <c r="S8" s="152"/>
      <c r="X8" s="35"/>
    </row>
    <row r="9" spans="1:32" ht="15" x14ac:dyDescent="0.25">
      <c r="A9" s="30">
        <f>IF(ISBLANK('CWMS Data'!$B11), "", 'CWMS Data'!$B11)</f>
        <v>44046</v>
      </c>
      <c r="B9" s="31">
        <f>IF(ISBLANK('CWMS Data'!$AD11), "", 'CWMS Data'!$AD11)</f>
        <v>1612.1399999999999</v>
      </c>
      <c r="C9" s="13" t="str">
        <f t="array" ref="C9">IF(AND(B9=MAX(B$7:B$37), C$7:C8&lt;&gt;"+"), "+", IF(AND(B9=MIN(B$7:B$37), C$7:C8&lt;&gt;"-"), "-", ""))</f>
        <v>-</v>
      </c>
      <c r="D9" s="32">
        <f>IF(ISBLANK('CWMS Data'!$W11), "", 'CWMS Data'!$W11)</f>
        <v>0</v>
      </c>
      <c r="E9" s="144">
        <v>2200</v>
      </c>
      <c r="F9" s="13" t="str">
        <f t="array" ref="F9">IF(AND(E9=MAX(E$7:E$37), F$7:F8&lt;&gt;"+"), "+", IF(AND(E9=MIN(E$7:E$37), F$7:F8&lt;&gt;"-"), "-", ""))</f>
        <v/>
      </c>
      <c r="G9" s="34">
        <f>IF(ISBLANK('CWMS Data'!$X11), "", 'CWMS Data'!$X11)</f>
        <v>26500</v>
      </c>
      <c r="H9" s="14" t="str">
        <f t="array" ref="H9">IF(AND(G9=MAX(G$7:G$37), H$7:H8&lt;&gt;"+"), "+", IF(AND(G9=MIN(G$7:G$37), H$7:H8&lt;&gt;"-"), "-", ""))</f>
        <v/>
      </c>
      <c r="I9" s="63">
        <f>IF(ISBLANK('CWMS Data'!$Y11), "", 'CWMS Data'!$Y11)</f>
        <v>0</v>
      </c>
      <c r="J9" s="14" t="str">
        <f t="array" ref="J9">IF(AND(I9=MAX(I$7:I$37), J$7:J8&lt;&gt;"+"), "+", IF(AND(I9=MIN(I$7:I$37), J$7:J8&lt;&gt;"-"), "-", ""))</f>
        <v/>
      </c>
      <c r="K9" s="119">
        <f t="shared" si="0"/>
        <v>26500</v>
      </c>
      <c r="L9" s="13" t="str">
        <f t="array" ref="L9">IF(AND(K9=MAX(K$7:K$37), L$7:L8&lt;&gt;"+"), "+", IF(AND(K9=MIN(K$7:K$37), L$7:L8&lt;&gt;"-"), "-", ""))</f>
        <v/>
      </c>
      <c r="M9" s="34">
        <f>IF(ISBLANK('CWMS Data'!$AA11), "", 'CWMS Data'!$AA11)</f>
        <v>29000.000000000004</v>
      </c>
      <c r="N9" s="13" t="str">
        <f t="array" ref="N9">IF(AND(M9=MAX(M$7:M$37), N$7:N8&lt;&gt;"+"), "+", IF(AND(M9=MIN(M$7:M$37), N$7:N8&lt;&gt;"-"), "-", ""))</f>
        <v/>
      </c>
      <c r="O9" s="35"/>
      <c r="P9" s="158" t="s">
        <v>70</v>
      </c>
      <c r="Q9" s="159"/>
      <c r="R9" s="126">
        <f>OAHE_Storage_Diff_acft</f>
        <v>57.851239669653296</v>
      </c>
      <c r="S9" s="127" t="s">
        <v>71</v>
      </c>
      <c r="X9" s="35"/>
    </row>
    <row r="10" spans="1:32" ht="15" x14ac:dyDescent="0.25">
      <c r="A10" s="30">
        <f>IF(ISBLANK('CWMS Data'!$B12), "", 'CWMS Data'!$B12)</f>
        <v>44047</v>
      </c>
      <c r="B10" s="31">
        <f>IF(ISBLANK('CWMS Data'!$AD12), "", 'CWMS Data'!$AD12)</f>
        <v>1612.2699999999998</v>
      </c>
      <c r="C10" s="13" t="str">
        <f t="array" ref="C10">IF(AND(B10=MAX(B$7:B$37), C$7:C9&lt;&gt;"+"), "+", IF(AND(B10=MIN(B$7:B$37), C$7:C9&lt;&gt;"-"), "-", ""))</f>
        <v/>
      </c>
      <c r="D10" s="32">
        <f>IF(ISBLANK('CWMS Data'!$W12), "", 'CWMS Data'!$W12)</f>
        <v>0</v>
      </c>
      <c r="E10" s="144">
        <v>2300</v>
      </c>
      <c r="F10" s="13" t="str">
        <f t="array" ref="F10">IF(AND(E10=MAX(E$7:E$37), F$7:F9&lt;&gt;"+"), "+", IF(AND(E10=MIN(E$7:E$37), F$7:F9&lt;&gt;"-"), "-", ""))</f>
        <v/>
      </c>
      <c r="G10" s="34">
        <f>IF(ISBLANK('CWMS Data'!$X12), "", 'CWMS Data'!$X12)</f>
        <v>26200.000000000004</v>
      </c>
      <c r="H10" s="14" t="str">
        <f t="array" ref="H10">IF(AND(G10=MAX(G$7:G$37), H$7:H9&lt;&gt;"+"), "+", IF(AND(G10=MIN(G$7:G$37), H$7:H9&lt;&gt;"-"), "-", ""))</f>
        <v/>
      </c>
      <c r="I10" s="63">
        <f>IF(ISBLANK('CWMS Data'!$Y12), "", 'CWMS Data'!$Y12)</f>
        <v>0</v>
      </c>
      <c r="J10" s="14" t="str">
        <f t="array" ref="J10">IF(AND(I10=MAX(I$7:I$37), J$7:J9&lt;&gt;"+"), "+", IF(AND(I10=MIN(I$7:I$37), J$7:J9&lt;&gt;"-"), "-", ""))</f>
        <v/>
      </c>
      <c r="K10" s="119">
        <f t="shared" si="0"/>
        <v>26200.000000000004</v>
      </c>
      <c r="L10" s="13" t="str">
        <f t="array" ref="L10">IF(AND(K10=MAX(K$7:K$37), L$7:L9&lt;&gt;"+"), "+", IF(AND(K10=MIN(K$7:K$37), L$7:L9&lt;&gt;"-"), "-", ""))</f>
        <v/>
      </c>
      <c r="M10" s="34">
        <f>IF(ISBLANK('CWMS Data'!$AA12), "", 'CWMS Data'!$AA12)</f>
        <v>29000.000000000004</v>
      </c>
      <c r="N10" s="13" t="str">
        <f t="array" ref="N10">IF(AND(M10=MAX(M$7:M$37), N$7:N9&lt;&gt;"+"), "+", IF(AND(M10=MIN(M$7:M$37), N$7:N9&lt;&gt;"-"), "-", ""))</f>
        <v/>
      </c>
      <c r="O10" s="35"/>
      <c r="X10" s="35"/>
    </row>
    <row r="11" spans="1:32" ht="15" x14ac:dyDescent="0.25">
      <c r="A11" s="36">
        <f>IF(ISBLANK('CWMS Data'!$B13), "", 'CWMS Data'!$B13)</f>
        <v>44048</v>
      </c>
      <c r="B11" s="31">
        <f>IF(ISBLANK('CWMS Data'!$AD13), "", 'CWMS Data'!$AD13)</f>
        <v>1612.28</v>
      </c>
      <c r="C11" s="13" t="str">
        <f t="array" ref="C11">IF(AND(B11=MAX(B$7:B$37), C$7:C10&lt;&gt;"+"), "+", IF(AND(B11=MIN(B$7:B$37), C$7:C10&lt;&gt;"-"), "-", ""))</f>
        <v/>
      </c>
      <c r="D11" s="32">
        <f>IF(ISBLANK('CWMS Data'!$W13), "", 'CWMS Data'!$W13)</f>
        <v>0</v>
      </c>
      <c r="E11" s="143">
        <f>IF(ISBLANK('CWMS Data'!$V13), "", 'CWMS Data'!$V13)</f>
        <v>2400</v>
      </c>
      <c r="F11" s="13" t="str">
        <f t="array" ref="F11">IF(AND(E11=MAX(E$7:E$37), F$7:F10&lt;&gt;"+"), "+", IF(AND(E11=MIN(E$7:E$37), F$7:F10&lt;&gt;"-"), "-", ""))</f>
        <v>+</v>
      </c>
      <c r="G11" s="34">
        <f>IF(ISBLANK('CWMS Data'!$X13), "", 'CWMS Data'!$X13)</f>
        <v>26300.000000000004</v>
      </c>
      <c r="H11" s="14" t="str">
        <f t="array" ref="H11">IF(AND(G11=MAX(G$7:G$37), H$7:H10&lt;&gt;"+"), "+", IF(AND(G11=MIN(G$7:G$37), H$7:H10&lt;&gt;"-"), "-", ""))</f>
        <v/>
      </c>
      <c r="I11" s="63">
        <f>IF(ISBLANK('CWMS Data'!$Y13), "", 'CWMS Data'!$Y13)</f>
        <v>0</v>
      </c>
      <c r="J11" s="14" t="str">
        <f t="array" ref="J11">IF(AND(I11=MAX(I$7:I$37), J$7:J10&lt;&gt;"+"), "+", IF(AND(I11=MIN(I$7:I$37), J$7:J10&lt;&gt;"-"), "-", ""))</f>
        <v/>
      </c>
      <c r="K11" s="119">
        <f t="shared" si="0"/>
        <v>26300.000000000004</v>
      </c>
      <c r="L11" s="13" t="str">
        <f t="array" ref="L11">IF(AND(K11=MAX(K$7:K$37), L$7:L10&lt;&gt;"+"), "+", IF(AND(K11=MIN(K$7:K$37), L$7:L10&lt;&gt;"-"), "-", ""))</f>
        <v/>
      </c>
      <c r="M11" s="34">
        <f>IF(ISBLANK('CWMS Data'!$AA13), "", 'CWMS Data'!$AA13)</f>
        <v>29000.000000000004</v>
      </c>
      <c r="N11" s="13" t="str">
        <f t="array" ref="N11">IF(AND(M11=MAX(M$7:M$37), N$7:N10&lt;&gt;"+"), "+", IF(AND(M11=MIN(M$7:M$37), N$7:N10&lt;&gt;"-"), "-", ""))</f>
        <v/>
      </c>
      <c r="O11" s="35"/>
      <c r="Q11" s="35"/>
    </row>
    <row r="12" spans="1:32" ht="15" x14ac:dyDescent="0.25">
      <c r="A12" s="30">
        <f>IF(ISBLANK('CWMS Data'!$B14), "", 'CWMS Data'!$B14)</f>
        <v>44049</v>
      </c>
      <c r="B12" s="31">
        <f>IF(ISBLANK('CWMS Data'!$AD14), "", 'CWMS Data'!$AD14)</f>
        <v>1612.1499999999999</v>
      </c>
      <c r="C12" s="13" t="str">
        <f t="array" ref="C12">IF(AND(B12=MAX(B$7:B$37), C$7:C11&lt;&gt;"+"), "+", IF(AND(B12=MIN(B$7:B$37), C$7:C11&lt;&gt;"-"), "-", ""))</f>
        <v/>
      </c>
      <c r="D12" s="32">
        <f>IF(ISBLANK('CWMS Data'!$W14), "", 'CWMS Data'!$W14)</f>
        <v>0</v>
      </c>
      <c r="E12" s="143">
        <f>IF(ISBLANK('CWMS Data'!$V14), "", 'CWMS Data'!$V14)</f>
        <v>2400</v>
      </c>
      <c r="F12" s="13" t="str">
        <f t="array" ref="F12">IF(AND(E12=MAX(E$7:E$37), F$7:F11&lt;&gt;"+"), "+", IF(AND(E12=MIN(E$7:E$37), F$7:F11&lt;&gt;"-"), "-", ""))</f>
        <v/>
      </c>
      <c r="G12" s="34">
        <f>IF(ISBLANK('CWMS Data'!$X14), "", 'CWMS Data'!$X14)</f>
        <v>26400.000000000004</v>
      </c>
      <c r="H12" s="14" t="str">
        <f t="array" ref="H12">IF(AND(G12=MAX(G$7:G$37), H$7:H11&lt;&gt;"+"), "+", IF(AND(G12=MIN(G$7:G$37), H$7:H11&lt;&gt;"-"), "-", ""))</f>
        <v/>
      </c>
      <c r="I12" s="63">
        <f>IF(ISBLANK('CWMS Data'!$Y14), "", 'CWMS Data'!$Y14)</f>
        <v>0</v>
      </c>
      <c r="J12" s="14" t="str">
        <f t="array" ref="J12">IF(AND(I12=MAX(I$7:I$37), J$7:J11&lt;&gt;"+"), "+", IF(AND(I12=MIN(I$7:I$37), J$7:J11&lt;&gt;"-"), "-", ""))</f>
        <v/>
      </c>
      <c r="K12" s="119">
        <f t="shared" si="0"/>
        <v>26400.000000000004</v>
      </c>
      <c r="L12" s="13" t="str">
        <f t="array" ref="L12">IF(AND(K12=MAX(K$7:K$37), L$7:L11&lt;&gt;"+"), "+", IF(AND(K12=MIN(K$7:K$37), L$7:L11&lt;&gt;"-"), "-", ""))</f>
        <v/>
      </c>
      <c r="M12" s="34">
        <f>IF(ISBLANK('CWMS Data'!$AA14), "", 'CWMS Data'!$AA14)</f>
        <v>29000.000000000004</v>
      </c>
      <c r="N12" s="13" t="str">
        <f t="array" ref="N12">IF(AND(M12=MAX(M$7:M$37), N$7:N11&lt;&gt;"+"), "+", IF(AND(M12=MIN(M$7:M$37), N$7:N11&lt;&gt;"-"), "-", ""))</f>
        <v/>
      </c>
      <c r="O12" s="35"/>
      <c r="P12" s="35"/>
      <c r="Q12" s="35"/>
    </row>
    <row r="13" spans="1:32" ht="15" x14ac:dyDescent="0.25">
      <c r="A13" s="30">
        <f>IF(ISBLANK('CWMS Data'!$B15), "", 'CWMS Data'!$B15)</f>
        <v>44050</v>
      </c>
      <c r="B13" s="31">
        <f>IF(ISBLANK('CWMS Data'!$AD15), "", 'CWMS Data'!$AD15)</f>
        <v>1612.34</v>
      </c>
      <c r="C13" s="13" t="str">
        <f t="array" ref="C13">IF(AND(B13=MAX(B$7:B$37), C$7:C12&lt;&gt;"+"), "+", IF(AND(B13=MIN(B$7:B$37), C$7:C12&lt;&gt;"-"), "-", ""))</f>
        <v/>
      </c>
      <c r="D13" s="32">
        <f>IF(ISBLANK('CWMS Data'!$W15), "", 'CWMS Data'!$W15)</f>
        <v>0</v>
      </c>
      <c r="E13" s="143">
        <f>IF(ISBLANK('CWMS Data'!$V15), "", 'CWMS Data'!$V15)</f>
        <v>2400</v>
      </c>
      <c r="F13" s="13" t="str">
        <f t="array" ref="F13">IF(AND(E13=MAX(E$7:E$37), F$7:F12&lt;&gt;"+"), "+", IF(AND(E13=MIN(E$7:E$37), F$7:F12&lt;&gt;"-"), "-", ""))</f>
        <v/>
      </c>
      <c r="G13" s="34">
        <f>IF(ISBLANK('CWMS Data'!$X15), "", 'CWMS Data'!$X15)</f>
        <v>26900</v>
      </c>
      <c r="H13" s="14" t="str">
        <f t="array" ref="H13">IF(AND(G13=MAX(G$7:G$37), H$7:H12&lt;&gt;"+"), "+", IF(AND(G13=MIN(G$7:G$37), H$7:H12&lt;&gt;"-"), "-", ""))</f>
        <v/>
      </c>
      <c r="I13" s="63">
        <f>IF(ISBLANK('CWMS Data'!$Y15), "", 'CWMS Data'!$Y15)</f>
        <v>0</v>
      </c>
      <c r="J13" s="14" t="str">
        <f t="array" ref="J13">IF(AND(I13=MAX(I$7:I$37), J$7:J12&lt;&gt;"+"), "+", IF(AND(I13=MIN(I$7:I$37), J$7:J12&lt;&gt;"-"), "-", ""))</f>
        <v/>
      </c>
      <c r="K13" s="119">
        <f t="shared" si="0"/>
        <v>26900</v>
      </c>
      <c r="L13" s="13" t="str">
        <f t="array" ref="L13">IF(AND(K13=MAX(K$7:K$37), L$7:L12&lt;&gt;"+"), "+", IF(AND(K13=MIN(K$7:K$37), L$7:L12&lt;&gt;"-"), "-", ""))</f>
        <v/>
      </c>
      <c r="M13" s="34">
        <f>IF(ISBLANK('CWMS Data'!$AA15), "", 'CWMS Data'!$AA15)</f>
        <v>29000.000000000004</v>
      </c>
      <c r="N13" s="13" t="str">
        <f t="array" ref="N13">IF(AND(M13=MAX(M$7:M$37), N$7:N12&lt;&gt;"+"), "+", IF(AND(M13=MIN(M$7:M$37), N$7:N12&lt;&gt;"-"), "-", ""))</f>
        <v/>
      </c>
      <c r="O13" s="35"/>
      <c r="P13" s="35"/>
      <c r="Q13" s="35"/>
    </row>
    <row r="14" spans="1:32" ht="15" x14ac:dyDescent="0.25">
      <c r="A14" s="30">
        <f>IF(ISBLANK('CWMS Data'!$B16), "", 'CWMS Data'!$B16)</f>
        <v>44051</v>
      </c>
      <c r="B14" s="31">
        <f>IF(ISBLANK('CWMS Data'!$AD16), "", 'CWMS Data'!$AD16)</f>
        <v>1612.22</v>
      </c>
      <c r="C14" s="13" t="str">
        <f t="array" ref="C14">IF(AND(B14=MAX(B$7:B$37), C$7:C13&lt;&gt;"+"), "+", IF(AND(B14=MIN(B$7:B$37), C$7:C13&lt;&gt;"-"), "-", ""))</f>
        <v/>
      </c>
      <c r="D14" s="32">
        <f>IF(ISBLANK('CWMS Data'!$W16), "", 'CWMS Data'!$W16)</f>
        <v>0</v>
      </c>
      <c r="E14" s="143">
        <f>IF(ISBLANK('CWMS Data'!$V16), "", 'CWMS Data'!$V16)</f>
        <v>2400</v>
      </c>
      <c r="F14" s="13" t="str">
        <f t="array" ref="F14">IF(AND(E14=MAX(E$7:E$37), F$7:F13&lt;&gt;"+"), "+", IF(AND(E14=MIN(E$7:E$37), F$7:F13&lt;&gt;"-"), "-", ""))</f>
        <v/>
      </c>
      <c r="G14" s="34">
        <f>IF(ISBLANK('CWMS Data'!$X16), "", 'CWMS Data'!$X16)</f>
        <v>25000.000000000004</v>
      </c>
      <c r="H14" s="14" t="str">
        <f t="array" ref="H14">IF(AND(G14=MAX(G$7:G$37), H$7:H13&lt;&gt;"+"), "+", IF(AND(G14=MIN(G$7:G$37), H$7:H13&lt;&gt;"-"), "-", ""))</f>
        <v/>
      </c>
      <c r="I14" s="63">
        <f>IF(ISBLANK('CWMS Data'!$Y16), "", 'CWMS Data'!$Y16)</f>
        <v>0</v>
      </c>
      <c r="J14" s="14" t="str">
        <f t="array" ref="J14">IF(AND(I14=MAX(I$7:I$37), J$7:J13&lt;&gt;"+"), "+", IF(AND(I14=MIN(I$7:I$37), J$7:J13&lt;&gt;"-"), "-", ""))</f>
        <v/>
      </c>
      <c r="K14" s="119">
        <f t="shared" si="0"/>
        <v>25000.000000000004</v>
      </c>
      <c r="L14" s="13" t="str">
        <f t="array" ref="L14">IF(AND(K14=MAX(K$7:K$37), L$7:L13&lt;&gt;"+"), "+", IF(AND(K14=MIN(K$7:K$37), L$7:L13&lt;&gt;"-"), "-", ""))</f>
        <v/>
      </c>
      <c r="M14" s="34">
        <f>IF(ISBLANK('CWMS Data'!$AA16), "", 'CWMS Data'!$AA16)</f>
        <v>29000.000000000004</v>
      </c>
      <c r="N14" s="13" t="str">
        <f t="array" ref="N14">IF(AND(M14=MAX(M$7:M$37), N$7:N13&lt;&gt;"+"), "+", IF(AND(M14=MIN(M$7:M$37), N$7:N13&lt;&gt;"-"), "-", ""))</f>
        <v/>
      </c>
      <c r="O14" s="35"/>
      <c r="P14" s="125"/>
      <c r="Q14" s="35"/>
    </row>
    <row r="15" spans="1:32" ht="15" x14ac:dyDescent="0.25">
      <c r="A15" s="30">
        <f>IF(ISBLANK('CWMS Data'!$B17), "", 'CWMS Data'!$B17)</f>
        <v>44052</v>
      </c>
      <c r="B15" s="31">
        <f>IF(ISBLANK('CWMS Data'!$AD17), "", 'CWMS Data'!$AD17)</f>
        <v>1612.5599999999997</v>
      </c>
      <c r="C15" s="13" t="str">
        <f t="array" ref="C15">IF(AND(B15=MAX(B$7:B$37), C$7:C14&lt;&gt;"+"), "+", IF(AND(B15=MIN(B$7:B$37), C$7:C14&lt;&gt;"-"), "-", ""))</f>
        <v/>
      </c>
      <c r="D15" s="32">
        <f>IF(ISBLANK('CWMS Data'!$W17), "", 'CWMS Data'!$W17)</f>
        <v>0</v>
      </c>
      <c r="E15" s="63">
        <f>IF(ISBLANK('CWMS Data'!$V17), "", 'CWMS Data'!$V17)</f>
        <v>2400</v>
      </c>
      <c r="F15" s="13" t="str">
        <f t="array" ref="F15">IF(AND(E15=MAX(E$7:E$37), F$7:F14&lt;&gt;"+"), "+", IF(AND(E15=MIN(E$7:E$37), F$7:F14&lt;&gt;"-"), "-", ""))</f>
        <v/>
      </c>
      <c r="G15" s="34">
        <f>IF(ISBLANK('CWMS Data'!$X17), "", 'CWMS Data'!$X17)</f>
        <v>24000</v>
      </c>
      <c r="H15" s="14" t="str">
        <f t="array" ref="H15">IF(AND(G15=MAX(G$7:G$37), H$7:H14&lt;&gt;"+"), "+", IF(AND(G15=MIN(G$7:G$37), H$7:H14&lt;&gt;"-"), "-", ""))</f>
        <v/>
      </c>
      <c r="I15" s="63">
        <f>IF(ISBLANK('CWMS Data'!$Y17), "", 'CWMS Data'!$Y17)</f>
        <v>0</v>
      </c>
      <c r="J15" s="14" t="str">
        <f t="array" ref="J15">IF(AND(I15=MAX(I$7:I$37), J$7:J14&lt;&gt;"+"), "+", IF(AND(I15=MIN(I$7:I$37), J$7:J14&lt;&gt;"-"), "-", ""))</f>
        <v/>
      </c>
      <c r="K15" s="119">
        <f t="shared" si="0"/>
        <v>24000</v>
      </c>
      <c r="L15" s="13" t="str">
        <f t="array" ref="L15">IF(AND(K15=MAX(K$7:K$37), L$7:L14&lt;&gt;"+"), "+", IF(AND(K15=MIN(K$7:K$37), L$7:L14&lt;&gt;"-"), "-", ""))</f>
        <v/>
      </c>
      <c r="M15" s="34">
        <f>IF(ISBLANK('CWMS Data'!$AA17), "", 'CWMS Data'!$AA17)</f>
        <v>29000.000000000004</v>
      </c>
      <c r="N15" s="13" t="str">
        <f t="array" ref="N15">IF(AND(M15=MAX(M$7:M$37), N$7:N14&lt;&gt;"+"), "+", IF(AND(M15=MIN(M$7:M$37), N$7:N14&lt;&gt;"-"), "-", ""))</f>
        <v/>
      </c>
      <c r="O15" s="35"/>
      <c r="P15" s="123"/>
      <c r="Q15" s="35"/>
      <c r="T15" s="122"/>
    </row>
    <row r="16" spans="1:32" ht="15" x14ac:dyDescent="0.25">
      <c r="A16" s="36">
        <f>IF(ISBLANK('CWMS Data'!$B18), "", 'CWMS Data'!$B18)</f>
        <v>44053</v>
      </c>
      <c r="B16" s="31">
        <f>IF(ISBLANK('CWMS Data'!$AD18), "", 'CWMS Data'!$AD18)</f>
        <v>1612.1799999999998</v>
      </c>
      <c r="C16" s="13" t="str">
        <f t="array" ref="C16">IF(AND(B16=MAX(B$7:B$37), C$7:C15&lt;&gt;"+"), "+", IF(AND(B16=MIN(B$7:B$37), C$7:C15&lt;&gt;"-"), "-", ""))</f>
        <v/>
      </c>
      <c r="D16" s="32">
        <f>IF(ISBLANK('CWMS Data'!$W18), "", 'CWMS Data'!$W18)</f>
        <v>0</v>
      </c>
      <c r="E16" s="63">
        <f>IF(ISBLANK('CWMS Data'!$V18), "", 'CWMS Data'!$V18)</f>
        <v>2400</v>
      </c>
      <c r="F16" s="13" t="str">
        <f t="array" ref="F16">IF(AND(E16=MAX(E$7:E$37), F$7:F15&lt;&gt;"+"), "+", IF(AND(E16=MIN(E$7:E$37), F$7:F15&lt;&gt;"-"), "-", ""))</f>
        <v/>
      </c>
      <c r="G16" s="34">
        <f>IF(ISBLANK('CWMS Data'!$X18), "", 'CWMS Data'!$X18)</f>
        <v>25300</v>
      </c>
      <c r="H16" s="14" t="str">
        <f t="array" ref="H16">IF(AND(G16=MAX(G$7:G$37), H$7:H15&lt;&gt;"+"), "+", IF(AND(G16=MIN(G$7:G$37), H$7:H15&lt;&gt;"-"), "-", ""))</f>
        <v/>
      </c>
      <c r="I16" s="63">
        <f>IF(ISBLANK('CWMS Data'!$Y18), "", 'CWMS Data'!$Y18)</f>
        <v>0</v>
      </c>
      <c r="J16" s="14" t="str">
        <f t="array" ref="J16">IF(AND(I16=MAX(I$7:I$37), J$7:J15&lt;&gt;"+"), "+", IF(AND(I16=MIN(I$7:I$37), J$7:J15&lt;&gt;"-"), "-", ""))</f>
        <v/>
      </c>
      <c r="K16" s="119">
        <f t="shared" si="0"/>
        <v>25300</v>
      </c>
      <c r="L16" s="13" t="str">
        <f t="array" ref="L16">IF(AND(K16=MAX(K$7:K$37), L$7:L15&lt;&gt;"+"), "+", IF(AND(K16=MIN(K$7:K$37), L$7:L15&lt;&gt;"-"), "-", ""))</f>
        <v/>
      </c>
      <c r="M16" s="34">
        <f>IF(ISBLANK('CWMS Data'!$AA18), "", 'CWMS Data'!$AA18)</f>
        <v>29000.000000000004</v>
      </c>
      <c r="N16" s="13" t="str">
        <f t="array" ref="N16">IF(AND(M16=MAX(M$7:M$37), N$7:N15&lt;&gt;"+"), "+", IF(AND(M16=MIN(M$7:M$37), N$7:N15&lt;&gt;"-"), "-", ""))</f>
        <v/>
      </c>
      <c r="O16" s="35"/>
      <c r="P16" s="35"/>
      <c r="Q16" s="35"/>
      <c r="T16" s="122"/>
    </row>
    <row r="17" spans="1:17" ht="15" x14ac:dyDescent="0.25">
      <c r="A17" s="30">
        <f>IF(ISBLANK('CWMS Data'!$B19), "", 'CWMS Data'!$B19)</f>
        <v>44054</v>
      </c>
      <c r="B17" s="31">
        <f>IF(ISBLANK('CWMS Data'!$AD19), "", 'CWMS Data'!$AD19)</f>
        <v>1612.3299999999997</v>
      </c>
      <c r="C17" s="13" t="str">
        <f t="array" ref="C17">IF(AND(B17=MAX(B$7:B$37), C$7:C16&lt;&gt;"+"), "+", IF(AND(B17=MIN(B$7:B$37), C$7:C16&lt;&gt;"-"), "-", ""))</f>
        <v/>
      </c>
      <c r="D17" s="32">
        <f>IF(ISBLANK('CWMS Data'!$W19), "", 'CWMS Data'!$W19)</f>
        <v>0</v>
      </c>
      <c r="E17" s="63">
        <f>IF(ISBLANK('CWMS Data'!$V19), "", 'CWMS Data'!$V19)</f>
        <v>2400</v>
      </c>
      <c r="F17" s="13" t="str">
        <f t="array" ref="F17">IF(AND(E17=MAX(E$7:E$37), F$7:F16&lt;&gt;"+"), "+", IF(AND(E17=MIN(E$7:E$37), F$7:F16&lt;&gt;"-"), "-", ""))</f>
        <v/>
      </c>
      <c r="G17" s="34">
        <f>IF(ISBLANK('CWMS Data'!$X19), "", 'CWMS Data'!$X19)</f>
        <v>25500.000000000004</v>
      </c>
      <c r="H17" s="14" t="str">
        <f t="array" ref="H17">IF(AND(G17=MAX(G$7:G$37), H$7:H16&lt;&gt;"+"), "+", IF(AND(G17=MIN(G$7:G$37), H$7:H16&lt;&gt;"-"), "-", ""))</f>
        <v/>
      </c>
      <c r="I17" s="63">
        <f>IF(ISBLANK('CWMS Data'!$Y19), "", 'CWMS Data'!$Y19)</f>
        <v>0</v>
      </c>
      <c r="J17" s="14" t="str">
        <f t="array" ref="J17">IF(AND(I17=MAX(I$7:I$37), J$7:J16&lt;&gt;"+"), "+", IF(AND(I17=MIN(I$7:I$37), J$7:J16&lt;&gt;"-"), "-", ""))</f>
        <v/>
      </c>
      <c r="K17" s="119">
        <f t="shared" si="0"/>
        <v>25500.000000000004</v>
      </c>
      <c r="L17" s="13" t="str">
        <f t="array" ref="L17">IF(AND(K17=MAX(K$7:K$37), L$7:L16&lt;&gt;"+"), "+", IF(AND(K17=MIN(K$7:K$37), L$7:L16&lt;&gt;"-"), "-", ""))</f>
        <v/>
      </c>
      <c r="M17" s="34">
        <f>IF(ISBLANK('CWMS Data'!$AA19), "", 'CWMS Data'!$AA19)</f>
        <v>29000.000000000004</v>
      </c>
      <c r="N17" s="13" t="str">
        <f t="array" ref="N17">IF(AND(M17=MAX(M$7:M$37), N$7:N16&lt;&gt;"+"), "+", IF(AND(M17=MIN(M$7:M$37), N$7:N16&lt;&gt;"-"), "-", ""))</f>
        <v/>
      </c>
      <c r="O17" s="35"/>
      <c r="Q17" s="35"/>
    </row>
    <row r="18" spans="1:17" ht="15" x14ac:dyDescent="0.25">
      <c r="A18" s="30">
        <f>IF(ISBLANK('CWMS Data'!$B20), "", 'CWMS Data'!$B20)</f>
        <v>44055</v>
      </c>
      <c r="B18" s="31">
        <f>IF(ISBLANK('CWMS Data'!$AD20), "", 'CWMS Data'!$AD20)</f>
        <v>1612.34</v>
      </c>
      <c r="C18" s="13" t="str">
        <f t="array" ref="C18">IF(AND(B18=MAX(B$7:B$37), C$7:C17&lt;&gt;"+"), "+", IF(AND(B18=MIN(B$7:B$37), C$7:C17&lt;&gt;"-"), "-", ""))</f>
        <v/>
      </c>
      <c r="D18" s="32">
        <f>IF(ISBLANK('CWMS Data'!$W20), "", 'CWMS Data'!$W20)</f>
        <v>0</v>
      </c>
      <c r="E18" s="63">
        <f>IF(ISBLANK('CWMS Data'!$V20), "", 'CWMS Data'!$V20)</f>
        <v>2400</v>
      </c>
      <c r="F18" s="13" t="str">
        <f t="array" ref="F18">IF(AND(E18=MAX(E$7:E$37), F$7:F17&lt;&gt;"+"), "+", IF(AND(E18=MIN(E$7:E$37), F$7:F17&lt;&gt;"-"), "-", ""))</f>
        <v/>
      </c>
      <c r="G18" s="34">
        <f>IF(ISBLANK('CWMS Data'!$X20), "", 'CWMS Data'!$X20)</f>
        <v>25400.000000000004</v>
      </c>
      <c r="H18" s="14" t="str">
        <f t="array" ref="H18">IF(AND(G18=MAX(G$7:G$37), H$7:H17&lt;&gt;"+"), "+", IF(AND(G18=MIN(G$7:G$37), H$7:H17&lt;&gt;"-"), "-", ""))</f>
        <v/>
      </c>
      <c r="I18" s="63">
        <f>IF(ISBLANK('CWMS Data'!$Y20), "", 'CWMS Data'!$Y20)</f>
        <v>0</v>
      </c>
      <c r="J18" s="14" t="str">
        <f t="array" ref="J18">IF(AND(I18=MAX(I$7:I$37), J$7:J17&lt;&gt;"+"), "+", IF(AND(I18=MIN(I$7:I$37), J$7:J17&lt;&gt;"-"), "-", ""))</f>
        <v/>
      </c>
      <c r="K18" s="119">
        <f t="shared" si="0"/>
        <v>25400.000000000004</v>
      </c>
      <c r="L18" s="13" t="str">
        <f t="array" ref="L18">IF(AND(K18=MAX(K$7:K$37), L$7:L17&lt;&gt;"+"), "+", IF(AND(K18=MIN(K$7:K$37), L$7:L17&lt;&gt;"-"), "-", ""))</f>
        <v/>
      </c>
      <c r="M18" s="34">
        <f>IF(ISBLANK('CWMS Data'!$AA20), "", 'CWMS Data'!$AA20)</f>
        <v>28000.000000000004</v>
      </c>
      <c r="N18" s="13" t="str">
        <f t="array" ref="N18">IF(AND(M18=MAX(M$7:M$37), N$7:N17&lt;&gt;"+"), "+", IF(AND(M18=MIN(M$7:M$37), N$7:N17&lt;&gt;"-"), "-", ""))</f>
        <v/>
      </c>
      <c r="O18" s="35"/>
      <c r="P18" s="35"/>
      <c r="Q18" s="35"/>
    </row>
    <row r="19" spans="1:17" ht="15" x14ac:dyDescent="0.25">
      <c r="A19" s="30">
        <f>IF(ISBLANK('CWMS Data'!$B21), "", 'CWMS Data'!$B21)</f>
        <v>44056</v>
      </c>
      <c r="B19" s="31">
        <f>IF(ISBLANK('CWMS Data'!$AD21), "", 'CWMS Data'!$AD21)</f>
        <v>1612.35</v>
      </c>
      <c r="C19" s="13" t="str">
        <f t="array" ref="C19">IF(AND(B19=MAX(B$7:B$37), C$7:C18&lt;&gt;"+"), "+", IF(AND(B19=MIN(B$7:B$37), C$7:C18&lt;&gt;"-"), "-", ""))</f>
        <v/>
      </c>
      <c r="D19" s="32">
        <f>IF(ISBLANK('CWMS Data'!$W21), "", 'CWMS Data'!$W21)</f>
        <v>0</v>
      </c>
      <c r="E19" s="63">
        <f>IF(ISBLANK('CWMS Data'!$V21), "", 'CWMS Data'!$V21)</f>
        <v>2400</v>
      </c>
      <c r="F19" s="13" t="str">
        <f t="array" ref="F19">IF(AND(E19=MAX(E$7:E$37), F$7:F18&lt;&gt;"+"), "+", IF(AND(E19=MIN(E$7:E$37), F$7:F18&lt;&gt;"-"), "-", ""))</f>
        <v/>
      </c>
      <c r="G19" s="34">
        <f>IF(ISBLANK('CWMS Data'!$X21), "", 'CWMS Data'!$X21)</f>
        <v>25300</v>
      </c>
      <c r="H19" s="14" t="str">
        <f t="array" ref="H19">IF(AND(G19=MAX(G$7:G$37), H$7:H18&lt;&gt;"+"), "+", IF(AND(G19=MIN(G$7:G$37), H$7:H18&lt;&gt;"-"), "-", ""))</f>
        <v/>
      </c>
      <c r="I19" s="63">
        <f>IF(ISBLANK('CWMS Data'!$Y21), "", 'CWMS Data'!$Y21)</f>
        <v>0</v>
      </c>
      <c r="J19" s="14" t="str">
        <f t="array" ref="J19">IF(AND(I19=MAX(I$7:I$37), J$7:J18&lt;&gt;"+"), "+", IF(AND(I19=MIN(I$7:I$37), J$7:J18&lt;&gt;"-"), "-", ""))</f>
        <v/>
      </c>
      <c r="K19" s="119">
        <f t="shared" si="0"/>
        <v>25300</v>
      </c>
      <c r="L19" s="13" t="str">
        <f t="array" ref="L19">IF(AND(K19=MAX(K$7:K$37), L$7:L18&lt;&gt;"+"), "+", IF(AND(K19=MIN(K$7:K$37), L$7:L18&lt;&gt;"-"), "-", ""))</f>
        <v/>
      </c>
      <c r="M19" s="34">
        <f>IF(ISBLANK('CWMS Data'!$AA21), "", 'CWMS Data'!$AA21)</f>
        <v>28000.000000000004</v>
      </c>
      <c r="N19" s="13" t="str">
        <f t="array" ref="N19">IF(AND(M19=MAX(M$7:M$37), N$7:N18&lt;&gt;"+"), "+", IF(AND(M19=MIN(M$7:M$37), N$7:N18&lt;&gt;"-"), "-", ""))</f>
        <v/>
      </c>
      <c r="O19" s="35"/>
      <c r="P19" s="35"/>
      <c r="Q19" s="35"/>
    </row>
    <row r="20" spans="1:17" ht="15" x14ac:dyDescent="0.25">
      <c r="A20" s="30">
        <f>IF(ISBLANK('CWMS Data'!$B22), "", 'CWMS Data'!$B22)</f>
        <v>44057</v>
      </c>
      <c r="B20" s="31">
        <f>IF(ISBLANK('CWMS Data'!$AD22), "", 'CWMS Data'!$AD22)</f>
        <v>1612.1399999999999</v>
      </c>
      <c r="C20" s="13" t="str">
        <f t="array" ref="C20">IF(AND(B20=MAX(B$7:B$37), C$7:C19&lt;&gt;"+"), "+", IF(AND(B20=MIN(B$7:B$37), C$7:C19&lt;&gt;"-"), "-", ""))</f>
        <v/>
      </c>
      <c r="D20" s="32">
        <f>IF(ISBLANK('CWMS Data'!$W22), "", 'CWMS Data'!$W22)</f>
        <v>0</v>
      </c>
      <c r="E20" s="63">
        <f>IF(ISBLANK('CWMS Data'!$V22), "", 'CWMS Data'!$V22)</f>
        <v>2400</v>
      </c>
      <c r="F20" s="13" t="str">
        <f t="array" ref="F20">IF(AND(E20=MAX(E$7:E$37), F$7:F19&lt;&gt;"+"), "+", IF(AND(E20=MIN(E$7:E$37), F$7:F19&lt;&gt;"-"), "-", ""))</f>
        <v/>
      </c>
      <c r="G20" s="34">
        <f>IF(ISBLANK('CWMS Data'!$X22), "", 'CWMS Data'!$X22)</f>
        <v>25400.000000000004</v>
      </c>
      <c r="H20" s="14" t="str">
        <f t="array" ref="H20">IF(AND(G20=MAX(G$7:G$37), H$7:H19&lt;&gt;"+"), "+", IF(AND(G20=MIN(G$7:G$37), H$7:H19&lt;&gt;"-"), "-", ""))</f>
        <v/>
      </c>
      <c r="I20" s="63">
        <f>IF(ISBLANK('CWMS Data'!$Y22), "", 'CWMS Data'!$Y22)</f>
        <v>0</v>
      </c>
      <c r="J20" s="14" t="str">
        <f t="array" ref="J20">IF(AND(I20=MAX(I$7:I$37), J$7:J19&lt;&gt;"+"), "+", IF(AND(I20=MIN(I$7:I$37), J$7:J19&lt;&gt;"-"), "-", ""))</f>
        <v/>
      </c>
      <c r="K20" s="119">
        <f t="shared" si="0"/>
        <v>25400.000000000004</v>
      </c>
      <c r="L20" s="13" t="str">
        <f t="array" ref="L20">IF(AND(K20=MAX(K$7:K$37), L$7:L19&lt;&gt;"+"), "+", IF(AND(K20=MIN(K$7:K$37), L$7:L19&lt;&gt;"-"), "-", ""))</f>
        <v/>
      </c>
      <c r="M20" s="34">
        <f>IF(ISBLANK('CWMS Data'!$AA22), "", 'CWMS Data'!$AA22)</f>
        <v>28000.000000000004</v>
      </c>
      <c r="N20" s="13" t="str">
        <f t="array" ref="N20">IF(AND(M20=MAX(M$7:M$37), N$7:N19&lt;&gt;"+"), "+", IF(AND(M20=MIN(M$7:M$37), N$7:N19&lt;&gt;"-"), "-", ""))</f>
        <v/>
      </c>
      <c r="O20" s="35"/>
      <c r="P20" s="35"/>
      <c r="Q20" s="35"/>
    </row>
    <row r="21" spans="1:17" ht="15" x14ac:dyDescent="0.25">
      <c r="A21" s="36">
        <f>IF(ISBLANK('CWMS Data'!$B23), "", 'CWMS Data'!$B23)</f>
        <v>44058</v>
      </c>
      <c r="B21" s="31">
        <f>IF(ISBLANK('CWMS Data'!$AD23), "", 'CWMS Data'!$AD23)</f>
        <v>1612.4099999999999</v>
      </c>
      <c r="C21" s="13" t="str">
        <f t="array" ref="C21">IF(AND(B21=MAX(B$7:B$37), C$7:C20&lt;&gt;"+"), "+", IF(AND(B21=MIN(B$7:B$37), C$7:C20&lt;&gt;"-"), "-", ""))</f>
        <v/>
      </c>
      <c r="D21" s="32">
        <f>IF(ISBLANK('CWMS Data'!$W23), "", 'CWMS Data'!$W23)</f>
        <v>0</v>
      </c>
      <c r="E21" s="63">
        <f>IF(ISBLANK('CWMS Data'!$V23), "", 'CWMS Data'!$V23)</f>
        <v>2400</v>
      </c>
      <c r="F21" s="13" t="str">
        <f t="array" ref="F21">IF(AND(E21=MAX(E$7:E$37), F$7:F20&lt;&gt;"+"), "+", IF(AND(E21=MIN(E$7:E$37), F$7:F20&lt;&gt;"-"), "-", ""))</f>
        <v/>
      </c>
      <c r="G21" s="34">
        <f>IF(ISBLANK('CWMS Data'!$X23), "", 'CWMS Data'!$X23)</f>
        <v>22100.000000000004</v>
      </c>
      <c r="H21" s="14" t="str">
        <f t="array" ref="H21">IF(AND(G21=MAX(G$7:G$37), H$7:H20&lt;&gt;"+"), "+", IF(AND(G21=MIN(G$7:G$37), H$7:H20&lt;&gt;"-"), "-", ""))</f>
        <v/>
      </c>
      <c r="I21" s="63">
        <f>IF(ISBLANK('CWMS Data'!$Y23), "", 'CWMS Data'!$Y23)</f>
        <v>0</v>
      </c>
      <c r="J21" s="14" t="str">
        <f t="array" ref="J21">IF(AND(I21=MAX(I$7:I$37), J$7:J20&lt;&gt;"+"), "+", IF(AND(I21=MIN(I$7:I$37), J$7:J20&lt;&gt;"-"), "-", ""))</f>
        <v/>
      </c>
      <c r="K21" s="119">
        <f t="shared" si="0"/>
        <v>22100.000000000004</v>
      </c>
      <c r="L21" s="13" t="str">
        <f t="array" ref="L21">IF(AND(K21=MAX(K$7:K$37), L$7:L20&lt;&gt;"+"), "+", IF(AND(K21=MIN(K$7:K$37), L$7:L20&lt;&gt;"-"), "-", ""))</f>
        <v/>
      </c>
      <c r="M21" s="34">
        <f>IF(ISBLANK('CWMS Data'!$AA23), "", 'CWMS Data'!$AA23)</f>
        <v>28000.000000000004</v>
      </c>
      <c r="N21" s="13" t="str">
        <f t="array" ref="N21">IF(AND(M21=MAX(M$7:M$37), N$7:N20&lt;&gt;"+"), "+", IF(AND(M21=MIN(M$7:M$37), N$7:N20&lt;&gt;"-"), "-", ""))</f>
        <v/>
      </c>
      <c r="O21" s="35"/>
      <c r="P21" s="35"/>
      <c r="Q21" s="35"/>
    </row>
    <row r="22" spans="1:17" ht="15" x14ac:dyDescent="0.25">
      <c r="A22" s="30">
        <f>IF(ISBLANK('CWMS Data'!$B24), "", 'CWMS Data'!$B24)</f>
        <v>44059</v>
      </c>
      <c r="B22" s="31">
        <f>IF(ISBLANK('CWMS Data'!$AD24), "", 'CWMS Data'!$AD24)</f>
        <v>1612.39</v>
      </c>
      <c r="C22" s="13" t="str">
        <f t="array" ref="C22">IF(AND(B22=MAX(B$7:B$37), C$7:C21&lt;&gt;"+"), "+", IF(AND(B22=MIN(B$7:B$37), C$7:C21&lt;&gt;"-"), "-", ""))</f>
        <v/>
      </c>
      <c r="D22" s="32">
        <f>IF(ISBLANK('CWMS Data'!$W24), "", 'CWMS Data'!$W24)</f>
        <v>0</v>
      </c>
      <c r="E22" s="63">
        <f>IF(ISBLANK('CWMS Data'!$V24), "", 'CWMS Data'!$V24)</f>
        <v>2400</v>
      </c>
      <c r="F22" s="13" t="str">
        <f t="array" ref="F22">IF(AND(E22=MAX(E$7:E$37), F$7:F21&lt;&gt;"+"), "+", IF(AND(E22=MIN(E$7:E$37), F$7:F21&lt;&gt;"-"), "-", ""))</f>
        <v/>
      </c>
      <c r="G22" s="34">
        <f>IF(ISBLANK('CWMS Data'!$X24), "", 'CWMS Data'!$X24)</f>
        <v>20100</v>
      </c>
      <c r="H22" s="14" t="str">
        <f t="array" ref="H22">IF(AND(G22=MAX(G$7:G$37), H$7:H21&lt;&gt;"+"), "+", IF(AND(G22=MIN(G$7:G$37), H$7:H21&lt;&gt;"-"), "-", ""))</f>
        <v>-</v>
      </c>
      <c r="I22" s="63">
        <f>IF(ISBLANK('CWMS Data'!$Y24), "", 'CWMS Data'!$Y24)</f>
        <v>0</v>
      </c>
      <c r="J22" s="14" t="str">
        <f t="array" ref="J22">IF(AND(I22=MAX(I$7:I$37), J$7:J21&lt;&gt;"+"), "+", IF(AND(I22=MIN(I$7:I$37), J$7:J21&lt;&gt;"-"), "-", ""))</f>
        <v/>
      </c>
      <c r="K22" s="119">
        <f t="shared" si="0"/>
        <v>20100</v>
      </c>
      <c r="L22" s="13" t="str">
        <f t="array" ref="L22">IF(AND(K22=MAX(K$7:K$37), L$7:L21&lt;&gt;"+"), "+", IF(AND(K22=MIN(K$7:K$37), L$7:L21&lt;&gt;"-"), "-", ""))</f>
        <v>-</v>
      </c>
      <c r="M22" s="34">
        <f>IF(ISBLANK('CWMS Data'!$AA24), "", 'CWMS Data'!$AA24)</f>
        <v>28000.000000000004</v>
      </c>
      <c r="N22" s="13" t="str">
        <f t="array" ref="N22">IF(AND(M22=MAX(M$7:M$37), N$7:N21&lt;&gt;"+"), "+", IF(AND(M22=MIN(M$7:M$37), N$7:N21&lt;&gt;"-"), "-", ""))</f>
        <v/>
      </c>
      <c r="O22" s="35"/>
      <c r="P22" s="35"/>
      <c r="Q22" s="35"/>
    </row>
    <row r="23" spans="1:17" ht="15" x14ac:dyDescent="0.25">
      <c r="A23" s="30">
        <f>IF(ISBLANK('CWMS Data'!$B25), "", 'CWMS Data'!$B25)</f>
        <v>44060</v>
      </c>
      <c r="B23" s="31">
        <f>IF(ISBLANK('CWMS Data'!$AD25), "", 'CWMS Data'!$AD25)</f>
        <v>1612.3599999999997</v>
      </c>
      <c r="C23" s="13" t="str">
        <f t="array" ref="C23">IF(AND(B23=MAX(B$7:B$37), C$7:C22&lt;&gt;"+"), "+", IF(AND(B23=MIN(B$7:B$37), C$7:C22&lt;&gt;"-"), "-", ""))</f>
        <v/>
      </c>
      <c r="D23" s="32">
        <f>IF(ISBLANK('CWMS Data'!$W25), "", 'CWMS Data'!$W25)</f>
        <v>0</v>
      </c>
      <c r="E23" s="63">
        <f>IF(ISBLANK('CWMS Data'!$V25), "", 'CWMS Data'!$V25)</f>
        <v>2400</v>
      </c>
      <c r="F23" s="13" t="str">
        <f t="array" ref="F23">IF(AND(E23=MAX(E$7:E$37), F$7:F22&lt;&gt;"+"), "+", IF(AND(E23=MIN(E$7:E$37), F$7:F22&lt;&gt;"-"), "-", ""))</f>
        <v/>
      </c>
      <c r="G23" s="34">
        <f>IF(ISBLANK('CWMS Data'!$X25), "", 'CWMS Data'!$X25)</f>
        <v>25100</v>
      </c>
      <c r="H23" s="14" t="str">
        <f t="array" ref="H23">IF(AND(G23=MAX(G$7:G$37), H$7:H22&lt;&gt;"+"), "+", IF(AND(G23=MIN(G$7:G$37), H$7:H22&lt;&gt;"-"), "-", ""))</f>
        <v/>
      </c>
      <c r="I23" s="63">
        <f>IF(ISBLANK('CWMS Data'!$Y25), "", 'CWMS Data'!$Y25)</f>
        <v>0</v>
      </c>
      <c r="J23" s="14" t="str">
        <f t="array" ref="J23">IF(AND(I23=MAX(I$7:I$37), J$7:J22&lt;&gt;"+"), "+", IF(AND(I23=MIN(I$7:I$37), J$7:J22&lt;&gt;"-"), "-", ""))</f>
        <v/>
      </c>
      <c r="K23" s="119">
        <f t="shared" si="0"/>
        <v>25100</v>
      </c>
      <c r="L23" s="13" t="str">
        <f t="array" ref="L23">IF(AND(K23=MAX(K$7:K$37), L$7:L22&lt;&gt;"+"), "+", IF(AND(K23=MIN(K$7:K$37), L$7:L22&lt;&gt;"-"), "-", ""))</f>
        <v/>
      </c>
      <c r="M23" s="34">
        <f>IF(ISBLANK('CWMS Data'!$AA25), "", 'CWMS Data'!$AA25)</f>
        <v>27000.000000000004</v>
      </c>
      <c r="N23" s="13" t="str">
        <f t="array" ref="N23">IF(AND(M23=MAX(M$7:M$37), N$7:N22&lt;&gt;"+"), "+", IF(AND(M23=MIN(M$7:M$37), N$7:N22&lt;&gt;"-"), "-", ""))</f>
        <v>-</v>
      </c>
      <c r="O23" s="35"/>
      <c r="P23" s="35"/>
      <c r="Q23" s="35"/>
    </row>
    <row r="24" spans="1:17" ht="15" x14ac:dyDescent="0.25">
      <c r="A24" s="30">
        <f>IF(ISBLANK('CWMS Data'!$B26), "", 'CWMS Data'!$B26)</f>
        <v>44061</v>
      </c>
      <c r="B24" s="31">
        <f>IF(ISBLANK('CWMS Data'!$AD26), "", 'CWMS Data'!$AD26)</f>
        <v>1612.31</v>
      </c>
      <c r="C24" s="13" t="str">
        <f t="array" ref="C24">IF(AND(B24=MAX(B$7:B$37), C$7:C23&lt;&gt;"+"), "+", IF(AND(B24=MIN(B$7:B$37), C$7:C23&lt;&gt;"-"), "-", ""))</f>
        <v/>
      </c>
      <c r="D24" s="32">
        <f>IF(ISBLANK('CWMS Data'!$W26), "", 'CWMS Data'!$W26)</f>
        <v>0</v>
      </c>
      <c r="E24" s="63">
        <f>IF(ISBLANK('CWMS Data'!$V26), "", 'CWMS Data'!$V26)</f>
        <v>2400</v>
      </c>
      <c r="F24" s="13" t="str">
        <f t="array" ref="F24">IF(AND(E24=MAX(E$7:E$37), F$7:F23&lt;&gt;"+"), "+", IF(AND(E24=MIN(E$7:E$37), F$7:F23&lt;&gt;"-"), "-", ""))</f>
        <v/>
      </c>
      <c r="G24" s="34">
        <f>IF(ISBLANK('CWMS Data'!$X26), "", 'CWMS Data'!$X26)</f>
        <v>25600</v>
      </c>
      <c r="H24" s="14" t="str">
        <f t="array" ref="H24">IF(AND(G24=MAX(G$7:G$37), H$7:H23&lt;&gt;"+"), "+", IF(AND(G24=MIN(G$7:G$37), H$7:H23&lt;&gt;"-"), "-", ""))</f>
        <v/>
      </c>
      <c r="I24" s="63">
        <f>IF(ISBLANK('CWMS Data'!$Y26), "", 'CWMS Data'!$Y26)</f>
        <v>0</v>
      </c>
      <c r="J24" s="14" t="str">
        <f t="array" ref="J24">IF(AND(I24=MAX(I$7:I$37), J$7:J23&lt;&gt;"+"), "+", IF(AND(I24=MIN(I$7:I$37), J$7:J23&lt;&gt;"-"), "-", ""))</f>
        <v/>
      </c>
      <c r="K24" s="119">
        <f t="shared" si="0"/>
        <v>25600</v>
      </c>
      <c r="L24" s="13" t="str">
        <f t="array" ref="L24">IF(AND(K24=MAX(K$7:K$37), L$7:L23&lt;&gt;"+"), "+", IF(AND(K24=MIN(K$7:K$37), L$7:L23&lt;&gt;"-"), "-", ""))</f>
        <v/>
      </c>
      <c r="M24" s="34">
        <f>IF(ISBLANK('CWMS Data'!$AA26), "", 'CWMS Data'!$AA26)</f>
        <v>27000.000000000004</v>
      </c>
      <c r="N24" s="13" t="str">
        <f t="array" ref="N24">IF(AND(M24=MAX(M$7:M$37), N$7:N23&lt;&gt;"+"), "+", IF(AND(M24=MIN(M$7:M$37), N$7:N23&lt;&gt;"-"), "-", ""))</f>
        <v/>
      </c>
      <c r="O24" s="35"/>
      <c r="P24" s="35"/>
      <c r="Q24" s="35"/>
    </row>
    <row r="25" spans="1:17" ht="15" x14ac:dyDescent="0.25">
      <c r="A25" s="30">
        <f>IF(ISBLANK('CWMS Data'!$B27), "", 'CWMS Data'!$B27)</f>
        <v>44062</v>
      </c>
      <c r="B25" s="31">
        <f>IF(ISBLANK('CWMS Data'!$AD27), "", 'CWMS Data'!$AD27)</f>
        <v>1612.4</v>
      </c>
      <c r="C25" s="13" t="str">
        <f t="array" ref="C25">IF(AND(B25=MAX(B$7:B$37), C$7:C24&lt;&gt;"+"), "+", IF(AND(B25=MIN(B$7:B$37), C$7:C24&lt;&gt;"-"), "-", ""))</f>
        <v/>
      </c>
      <c r="D25" s="32">
        <f>IF(ISBLANK('CWMS Data'!$W27), "", 'CWMS Data'!$W27)</f>
        <v>0</v>
      </c>
      <c r="E25" s="63">
        <f>IF(ISBLANK('CWMS Data'!$V27), "", 'CWMS Data'!$V27)</f>
        <v>2400</v>
      </c>
      <c r="F25" s="13" t="str">
        <f t="array" ref="F25">IF(AND(E25=MAX(E$7:E$37), F$7:F24&lt;&gt;"+"), "+", IF(AND(E25=MIN(E$7:E$37), F$7:F24&lt;&gt;"-"), "-", ""))</f>
        <v/>
      </c>
      <c r="G25" s="34">
        <f>IF(ISBLANK('CWMS Data'!$X27), "", 'CWMS Data'!$X27)</f>
        <v>25300</v>
      </c>
      <c r="H25" s="14" t="str">
        <f t="array" ref="H25">IF(AND(G25=MAX(G$7:G$37), H$7:H24&lt;&gt;"+"), "+", IF(AND(G25=MIN(G$7:G$37), H$7:H24&lt;&gt;"-"), "-", ""))</f>
        <v/>
      </c>
      <c r="I25" s="63">
        <f>IF(ISBLANK('CWMS Data'!$Y27), "", 'CWMS Data'!$Y27)</f>
        <v>0</v>
      </c>
      <c r="J25" s="14" t="str">
        <f t="array" ref="J25">IF(AND(I25=MAX(I$7:I$37), J$7:J24&lt;&gt;"+"), "+", IF(AND(I25=MIN(I$7:I$37), J$7:J24&lt;&gt;"-"), "-", ""))</f>
        <v/>
      </c>
      <c r="K25" s="119">
        <f t="shared" si="0"/>
        <v>25300</v>
      </c>
      <c r="L25" s="13" t="str">
        <f t="array" ref="L25">IF(AND(K25=MAX(K$7:K$37), L$7:L24&lt;&gt;"+"), "+", IF(AND(K25=MIN(K$7:K$37), L$7:L24&lt;&gt;"-"), "-", ""))</f>
        <v/>
      </c>
      <c r="M25" s="34">
        <f>IF(ISBLANK('CWMS Data'!$AA27), "", 'CWMS Data'!$AA27)</f>
        <v>27000.000000000004</v>
      </c>
      <c r="N25" s="13" t="str">
        <f t="array" ref="N25">IF(AND(M25=MAX(M$7:M$37), N$7:N24&lt;&gt;"+"), "+", IF(AND(M25=MIN(M$7:M$37), N$7:N24&lt;&gt;"-"), "-", ""))</f>
        <v/>
      </c>
      <c r="O25" s="35"/>
      <c r="P25" s="35"/>
      <c r="Q25" s="35"/>
    </row>
    <row r="26" spans="1:17" ht="15" x14ac:dyDescent="0.25">
      <c r="A26" s="36">
        <f>IF(ISBLANK('CWMS Data'!$B28), "", 'CWMS Data'!$B28)</f>
        <v>44063</v>
      </c>
      <c r="B26" s="31">
        <f>IF(ISBLANK('CWMS Data'!$AD28), "", 'CWMS Data'!$AD28)</f>
        <v>1612.3799999999999</v>
      </c>
      <c r="C26" s="13" t="str">
        <f t="array" ref="C26">IF(AND(B26=MAX(B$7:B$37), C$7:C25&lt;&gt;"+"), "+", IF(AND(B26=MIN(B$7:B$37), C$7:C25&lt;&gt;"-"), "-", ""))</f>
        <v/>
      </c>
      <c r="D26" s="32">
        <f>IF(ISBLANK('CWMS Data'!$W28), "", 'CWMS Data'!$W28)</f>
        <v>0</v>
      </c>
      <c r="E26" s="63">
        <f>IF(ISBLANK('CWMS Data'!$V28), "", 'CWMS Data'!$V28)</f>
        <v>2400</v>
      </c>
      <c r="F26" s="13" t="str">
        <f t="array" ref="F26">IF(AND(E26=MAX(E$7:E$37), F$7:F25&lt;&gt;"+"), "+", IF(AND(E26=MIN(E$7:E$37), F$7:F25&lt;&gt;"-"), "-", ""))</f>
        <v/>
      </c>
      <c r="G26" s="34">
        <f>IF(ISBLANK('CWMS Data'!$X28), "", 'CWMS Data'!$X28)</f>
        <v>25100</v>
      </c>
      <c r="H26" s="14" t="str">
        <f t="array" ref="H26">IF(AND(G26=MAX(G$7:G$37), H$7:H25&lt;&gt;"+"), "+", IF(AND(G26=MIN(G$7:G$37), H$7:H25&lt;&gt;"-"), "-", ""))</f>
        <v/>
      </c>
      <c r="I26" s="63">
        <f>IF(ISBLANK('CWMS Data'!$Y28), "", 'CWMS Data'!$Y28)</f>
        <v>0</v>
      </c>
      <c r="J26" s="14" t="str">
        <f t="array" ref="J26">IF(AND(I26=MAX(I$7:I$37), J$7:J25&lt;&gt;"+"), "+", IF(AND(I26=MIN(I$7:I$37), J$7:J25&lt;&gt;"-"), "-", ""))</f>
        <v/>
      </c>
      <c r="K26" s="119">
        <f t="shared" si="0"/>
        <v>25100</v>
      </c>
      <c r="L26" s="13" t="str">
        <f t="array" ref="L26">IF(AND(K26=MAX(K$7:K$37), L$7:L25&lt;&gt;"+"), "+", IF(AND(K26=MIN(K$7:K$37), L$7:L25&lt;&gt;"-"), "-", ""))</f>
        <v/>
      </c>
      <c r="M26" s="34">
        <f>IF(ISBLANK('CWMS Data'!$AA28), "", 'CWMS Data'!$AA28)</f>
        <v>27000.000000000004</v>
      </c>
      <c r="N26" s="13" t="str">
        <f t="array" ref="N26">IF(AND(M26=MAX(M$7:M$37), N$7:N25&lt;&gt;"+"), "+", IF(AND(M26=MIN(M$7:M$37), N$7:N25&lt;&gt;"-"), "-", ""))</f>
        <v/>
      </c>
      <c r="O26" s="35"/>
      <c r="P26" s="35"/>
      <c r="Q26" s="35"/>
    </row>
    <row r="27" spans="1:17" ht="15" x14ac:dyDescent="0.25">
      <c r="A27" s="30">
        <f>IF(ISBLANK('CWMS Data'!$B29), "", 'CWMS Data'!$B29)</f>
        <v>44064</v>
      </c>
      <c r="B27" s="31">
        <f>IF(ISBLANK('CWMS Data'!$AD29), "", 'CWMS Data'!$AD29)</f>
        <v>1612.32</v>
      </c>
      <c r="C27" s="13" t="str">
        <f t="array" ref="C27">IF(AND(B27=MAX(B$7:B$37), C$7:C26&lt;&gt;"+"), "+", IF(AND(B27=MIN(B$7:B$37), C$7:C26&lt;&gt;"-"), "-", ""))</f>
        <v/>
      </c>
      <c r="D27" s="32">
        <f>IF(ISBLANK('CWMS Data'!$W29), "", 'CWMS Data'!$W29)</f>
        <v>0</v>
      </c>
      <c r="E27" s="63">
        <f>IF(ISBLANK('CWMS Data'!$V29), "", 'CWMS Data'!$V29)</f>
        <v>2400</v>
      </c>
      <c r="F27" s="13" t="str">
        <f t="array" ref="F27">IF(AND(E27=MAX(E$7:E$37), F$7:F26&lt;&gt;"+"), "+", IF(AND(E27=MIN(E$7:E$37), F$7:F26&lt;&gt;"-"), "-", ""))</f>
        <v/>
      </c>
      <c r="G27" s="34">
        <f>IF(ISBLANK('CWMS Data'!$X29), "", 'CWMS Data'!$X29)</f>
        <v>25500.000000000004</v>
      </c>
      <c r="H27" s="14" t="str">
        <f t="array" ref="H27">IF(AND(G27=MAX(G$7:G$37), H$7:H26&lt;&gt;"+"), "+", IF(AND(G27=MIN(G$7:G$37), H$7:H26&lt;&gt;"-"), "-", ""))</f>
        <v/>
      </c>
      <c r="I27" s="63">
        <f>IF(ISBLANK('CWMS Data'!$Y29), "", 'CWMS Data'!$Y29)</f>
        <v>0</v>
      </c>
      <c r="J27" s="14" t="str">
        <f t="array" ref="J27">IF(AND(I27=MAX(I$7:I$37), J$7:J26&lt;&gt;"+"), "+", IF(AND(I27=MIN(I$7:I$37), J$7:J26&lt;&gt;"-"), "-", ""))</f>
        <v/>
      </c>
      <c r="K27" s="119">
        <f t="shared" si="0"/>
        <v>25500.000000000004</v>
      </c>
      <c r="L27" s="13" t="str">
        <f t="array" ref="L27">IF(AND(K27=MAX(K$7:K$37), L$7:L26&lt;&gt;"+"), "+", IF(AND(K27=MIN(K$7:K$37), L$7:L26&lt;&gt;"-"), "-", ""))</f>
        <v/>
      </c>
      <c r="M27" s="34">
        <f>IF(ISBLANK('CWMS Data'!$AA29), "", 'CWMS Data'!$AA29)</f>
        <v>27000.000000000004</v>
      </c>
      <c r="N27" s="13" t="str">
        <f t="array" ref="N27">IF(AND(M27=MAX(M$7:M$37), N$7:N26&lt;&gt;"+"), "+", IF(AND(M27=MIN(M$7:M$37), N$7:N26&lt;&gt;"-"), "-", ""))</f>
        <v/>
      </c>
      <c r="O27" s="35"/>
      <c r="P27" s="35"/>
      <c r="Q27" s="35"/>
    </row>
    <row r="28" spans="1:17" ht="15" x14ac:dyDescent="0.25">
      <c r="A28" s="30">
        <f>IF(ISBLANK('CWMS Data'!$B30), "", 'CWMS Data'!$B30)</f>
        <v>44065</v>
      </c>
      <c r="B28" s="31">
        <f>IF(ISBLANK('CWMS Data'!$AD30), "", 'CWMS Data'!$AD30)</f>
        <v>1612.4099999999999</v>
      </c>
      <c r="C28" s="13" t="str">
        <f t="array" ref="C28">IF(AND(B28=MAX(B$7:B$37), C$7:C27&lt;&gt;"+"), "+", IF(AND(B28=MIN(B$7:B$37), C$7:C27&lt;&gt;"-"), "-", ""))</f>
        <v/>
      </c>
      <c r="D28" s="32">
        <f>IF(ISBLANK('CWMS Data'!$W30), "", 'CWMS Data'!$W30)</f>
        <v>0</v>
      </c>
      <c r="E28" s="63">
        <f>IF(ISBLANK('CWMS Data'!$V30), "", 'CWMS Data'!$V30)</f>
        <v>2400</v>
      </c>
      <c r="F28" s="13" t="str">
        <f t="array" ref="F28">IF(AND(E28=MAX(E$7:E$37), F$7:F27&lt;&gt;"+"), "+", IF(AND(E28=MIN(E$7:E$37), F$7:F27&lt;&gt;"-"), "-", ""))</f>
        <v/>
      </c>
      <c r="G28" s="34">
        <f>IF(ISBLANK('CWMS Data'!$X30), "", 'CWMS Data'!$X30)</f>
        <v>23500</v>
      </c>
      <c r="H28" s="14" t="str">
        <f t="array" ref="H28">IF(AND(G28=MAX(G$7:G$37), H$7:H27&lt;&gt;"+"), "+", IF(AND(G28=MIN(G$7:G$37), H$7:H27&lt;&gt;"-"), "-", ""))</f>
        <v/>
      </c>
      <c r="I28" s="63">
        <f>IF(ISBLANK('CWMS Data'!$Y30), "", 'CWMS Data'!$Y30)</f>
        <v>0</v>
      </c>
      <c r="J28" s="14" t="str">
        <f t="array" ref="J28">IF(AND(I28=MAX(I$7:I$37), J$7:J27&lt;&gt;"+"), "+", IF(AND(I28=MIN(I$7:I$37), J$7:J27&lt;&gt;"-"), "-", ""))</f>
        <v/>
      </c>
      <c r="K28" s="119">
        <f t="shared" si="0"/>
        <v>23500</v>
      </c>
      <c r="L28" s="13" t="str">
        <f t="array" ref="L28">IF(AND(K28=MAX(K$7:K$37), L$7:L27&lt;&gt;"+"), "+", IF(AND(K28=MIN(K$7:K$37), L$7:L27&lt;&gt;"-"), "-", ""))</f>
        <v/>
      </c>
      <c r="M28" s="34">
        <f>IF(ISBLANK('CWMS Data'!$AA30), "", 'CWMS Data'!$AA30)</f>
        <v>27000.000000000004</v>
      </c>
      <c r="N28" s="13" t="str">
        <f t="array" ref="N28">IF(AND(M28=MAX(M$7:M$37), N$7:N27&lt;&gt;"+"), "+", IF(AND(M28=MIN(M$7:M$37), N$7:N27&lt;&gt;"-"), "-", ""))</f>
        <v/>
      </c>
      <c r="O28" s="35"/>
      <c r="P28" s="35"/>
      <c r="Q28" s="35"/>
    </row>
    <row r="29" spans="1:17" ht="15" x14ac:dyDescent="0.25">
      <c r="A29" s="30">
        <f>IF(ISBLANK('CWMS Data'!$B31), "", 'CWMS Data'!$B31)</f>
        <v>44066</v>
      </c>
      <c r="B29" s="31">
        <f>IF(ISBLANK('CWMS Data'!$AD31), "", 'CWMS Data'!$AD31)</f>
        <v>1612.42</v>
      </c>
      <c r="C29" s="13" t="str">
        <f t="array" ref="C29">IF(AND(B29=MAX(B$7:B$37), C$7:C28&lt;&gt;"+"), "+", IF(AND(B29=MIN(B$7:B$37), C$7:C28&lt;&gt;"-"), "-", ""))</f>
        <v/>
      </c>
      <c r="D29" s="32">
        <f>IF(ISBLANK('CWMS Data'!$W31), "", 'CWMS Data'!$W31)</f>
        <v>0</v>
      </c>
      <c r="E29" s="63">
        <f>IF(ISBLANK('CWMS Data'!$V31), "", 'CWMS Data'!$V31)</f>
        <v>2400</v>
      </c>
      <c r="F29" s="13" t="str">
        <f t="array" ref="F29">IF(AND(E29=MAX(E$7:E$37), F$7:F28&lt;&gt;"+"), "+", IF(AND(E29=MIN(E$7:E$37), F$7:F28&lt;&gt;"-"), "-", ""))</f>
        <v/>
      </c>
      <c r="G29" s="34">
        <f>IF(ISBLANK('CWMS Data'!$X31), "", 'CWMS Data'!$X31)</f>
        <v>21300</v>
      </c>
      <c r="H29" s="14" t="str">
        <f t="array" ref="H29">IF(AND(G29=MAX(G$7:G$37), H$7:H28&lt;&gt;"+"), "+", IF(AND(G29=MIN(G$7:G$37), H$7:H28&lt;&gt;"-"), "-", ""))</f>
        <v/>
      </c>
      <c r="I29" s="63">
        <f>IF(ISBLANK('CWMS Data'!$Y31), "", 'CWMS Data'!$Y31)</f>
        <v>0</v>
      </c>
      <c r="J29" s="14" t="str">
        <f t="array" ref="J29">IF(AND(I29=MAX(I$7:I$37), J$7:J28&lt;&gt;"+"), "+", IF(AND(I29=MIN(I$7:I$37), J$7:J28&lt;&gt;"-"), "-", ""))</f>
        <v/>
      </c>
      <c r="K29" s="119">
        <f t="shared" si="0"/>
        <v>21300</v>
      </c>
      <c r="L29" s="13" t="str">
        <f t="array" ref="L29">IF(AND(K29=MAX(K$7:K$37), L$7:L28&lt;&gt;"+"), "+", IF(AND(K29=MIN(K$7:K$37), L$7:L28&lt;&gt;"-"), "-", ""))</f>
        <v/>
      </c>
      <c r="M29" s="34">
        <f>IF(ISBLANK('CWMS Data'!$AA31), "", 'CWMS Data'!$AA31)</f>
        <v>27000.000000000004</v>
      </c>
      <c r="N29" s="13" t="str">
        <f t="array" ref="N29">IF(AND(M29=MAX(M$7:M$37), N$7:N28&lt;&gt;"+"), "+", IF(AND(M29=MIN(M$7:M$37), N$7:N28&lt;&gt;"-"), "-", ""))</f>
        <v/>
      </c>
      <c r="O29" s="35"/>
      <c r="P29" s="35"/>
      <c r="Q29" s="35"/>
    </row>
    <row r="30" spans="1:17" ht="15" x14ac:dyDescent="0.25">
      <c r="A30" s="30">
        <f>IF(ISBLANK('CWMS Data'!$B32), "", 'CWMS Data'!$B32)</f>
        <v>44067</v>
      </c>
      <c r="B30" s="31">
        <f>IF(ISBLANK('CWMS Data'!$AD32), "", 'CWMS Data'!$AD32)</f>
        <v>1612.4699999999998</v>
      </c>
      <c r="C30" s="13" t="str">
        <f t="array" ref="C30">IF(AND(B30=MAX(B$7:B$37), C$7:C29&lt;&gt;"+"), "+", IF(AND(B30=MIN(B$7:B$37), C$7:C29&lt;&gt;"-"), "-", ""))</f>
        <v/>
      </c>
      <c r="D30" s="32">
        <f>IF(ISBLANK('CWMS Data'!$W32), "", 'CWMS Data'!$W32)</f>
        <v>0</v>
      </c>
      <c r="E30" s="63">
        <f>IF(ISBLANK('CWMS Data'!$V32), "", 'CWMS Data'!$V32)</f>
        <v>2400</v>
      </c>
      <c r="F30" s="13" t="str">
        <f t="array" ref="F30">IF(AND(E30=MAX(E$7:E$37), F$7:F29&lt;&gt;"+"), "+", IF(AND(E30=MIN(E$7:E$37), F$7:F29&lt;&gt;"-"), "-", ""))</f>
        <v/>
      </c>
      <c r="G30" s="34">
        <f>IF(ISBLANK('CWMS Data'!$X32), "", 'CWMS Data'!$X32)</f>
        <v>25300</v>
      </c>
      <c r="H30" s="14" t="str">
        <f t="array" ref="H30">IF(AND(G30=MAX(G$7:G$37), H$7:H29&lt;&gt;"+"), "+", IF(AND(G30=MIN(G$7:G$37), H$7:H29&lt;&gt;"-"), "-", ""))</f>
        <v/>
      </c>
      <c r="I30" s="63">
        <f>IF(ISBLANK('CWMS Data'!$Y32), "", 'CWMS Data'!$Y32)</f>
        <v>0</v>
      </c>
      <c r="J30" s="14" t="str">
        <f t="array" ref="J30">IF(AND(I30=MAX(I$7:I$37), J$7:J29&lt;&gt;"+"), "+", IF(AND(I30=MIN(I$7:I$37), J$7:J29&lt;&gt;"-"), "-", ""))</f>
        <v/>
      </c>
      <c r="K30" s="119">
        <f t="shared" si="0"/>
        <v>25300</v>
      </c>
      <c r="L30" s="13" t="str">
        <f t="array" ref="L30">IF(AND(K30=MAX(K$7:K$37), L$7:L29&lt;&gt;"+"), "+", IF(AND(K30=MIN(K$7:K$37), L$7:L29&lt;&gt;"-"), "-", ""))</f>
        <v/>
      </c>
      <c r="M30" s="34">
        <f>IF(ISBLANK('CWMS Data'!$AA32), "", 'CWMS Data'!$AA32)</f>
        <v>27000.000000000004</v>
      </c>
      <c r="N30" s="13" t="str">
        <f t="array" ref="N30">IF(AND(M30=MAX(M$7:M$37), N$7:N29&lt;&gt;"+"), "+", IF(AND(M30=MIN(M$7:M$37), N$7:N29&lt;&gt;"-"), "-", ""))</f>
        <v/>
      </c>
      <c r="O30" s="35"/>
      <c r="P30" s="35"/>
      <c r="Q30" s="35"/>
    </row>
    <row r="31" spans="1:17" ht="15" x14ac:dyDescent="0.25">
      <c r="A31" s="36">
        <f>IF(ISBLANK('CWMS Data'!$B33), "", 'CWMS Data'!$B33)</f>
        <v>44068</v>
      </c>
      <c r="B31" s="31">
        <f>IF(ISBLANK('CWMS Data'!$AD33), "", 'CWMS Data'!$AD33)</f>
        <v>1612.42</v>
      </c>
      <c r="C31" s="13" t="str">
        <f t="array" ref="C31">IF(AND(B31=MAX(B$7:B$37), C$7:C30&lt;&gt;"+"), "+", IF(AND(B31=MIN(B$7:B$37), C$7:C30&lt;&gt;"-"), "-", ""))</f>
        <v/>
      </c>
      <c r="D31" s="32">
        <f>IF(ISBLANK('CWMS Data'!$W33), "", 'CWMS Data'!$W33)</f>
        <v>0</v>
      </c>
      <c r="E31" s="135">
        <f>IF(ISBLANK('CWMS Data'!$V33), "", 'CWMS Data'!$V33)</f>
        <v>2400</v>
      </c>
      <c r="F31" s="13" t="str">
        <f t="array" ref="F31">IF(AND(E31=MAX(E$7:E$37), F$7:F30&lt;&gt;"+"), "+", IF(AND(E31=MIN(E$7:E$37), F$7:F30&lt;&gt;"-"), "-", ""))</f>
        <v/>
      </c>
      <c r="G31" s="34">
        <f>IF(ISBLANK('CWMS Data'!$X33), "", 'CWMS Data'!$X33)</f>
        <v>25000.000000000004</v>
      </c>
      <c r="H31" s="14" t="str">
        <f t="array" ref="H31">IF(AND(G31=MAX(G$7:G$37), H$7:H30&lt;&gt;"+"), "+", IF(AND(G31=MIN(G$7:G$37), H$7:H30&lt;&gt;"-"), "-", ""))</f>
        <v/>
      </c>
      <c r="I31" s="63">
        <f>IF(ISBLANK('CWMS Data'!$Y33), "", 'CWMS Data'!$Y33)</f>
        <v>0</v>
      </c>
      <c r="J31" s="14" t="str">
        <f t="array" ref="J31">IF(AND(I31=MAX(I$7:I$37), J$7:J30&lt;&gt;"+"), "+", IF(AND(I31=MIN(I$7:I$37), J$7:J30&lt;&gt;"-"), "-", ""))</f>
        <v/>
      </c>
      <c r="K31" s="119">
        <f t="shared" si="0"/>
        <v>25000.000000000004</v>
      </c>
      <c r="L31" s="13" t="str">
        <f t="array" ref="L31">IF(AND(K31=MAX(K$7:K$37), L$7:L30&lt;&gt;"+"), "+", IF(AND(K31=MIN(K$7:K$37), L$7:L30&lt;&gt;"-"), "-", ""))</f>
        <v/>
      </c>
      <c r="M31" s="34">
        <f>IF(ISBLANK('CWMS Data'!$AA33), "", 'CWMS Data'!$AA33)</f>
        <v>28000.000000000004</v>
      </c>
      <c r="N31" s="13" t="str">
        <f t="array" ref="N31">IF(AND(M31=MAX(M$7:M$37), N$7:N30&lt;&gt;"+"), "+", IF(AND(M31=MIN(M$7:M$37), N$7:N30&lt;&gt;"-"), "-", ""))</f>
        <v/>
      </c>
      <c r="O31" s="35"/>
      <c r="P31" s="35"/>
      <c r="Q31" s="35"/>
    </row>
    <row r="32" spans="1:17" ht="15" x14ac:dyDescent="0.25">
      <c r="A32" s="30">
        <f>IF(ISBLANK('CWMS Data'!$B34), "", 'CWMS Data'!$B34)</f>
        <v>44069</v>
      </c>
      <c r="B32" s="31">
        <f>IF(ISBLANK('CWMS Data'!$AD34), "", 'CWMS Data'!$AD34)</f>
        <v>1612.35</v>
      </c>
      <c r="C32" s="13" t="str">
        <f t="array" ref="C32">IF(AND(B32=MAX(B$7:B$37), C$7:C31&lt;&gt;"+"), "+", IF(AND(B32=MIN(B$7:B$37), C$7:C31&lt;&gt;"-"), "-", ""))</f>
        <v/>
      </c>
      <c r="D32" s="32">
        <f>IF(ISBLANK('CWMS Data'!$W34), "", 'CWMS Data'!$W34)</f>
        <v>0</v>
      </c>
      <c r="E32" s="135">
        <f>IF(ISBLANK('CWMS Data'!$V34), "", 'CWMS Data'!$V34)</f>
        <v>2400</v>
      </c>
      <c r="F32" s="13" t="str">
        <f t="array" ref="F32">IF(AND(E32=MAX(E$7:E$37), F$7:F31&lt;&gt;"+"), "+", IF(AND(E32=MIN(E$7:E$37), F$7:F31&lt;&gt;"-"), "-", ""))</f>
        <v/>
      </c>
      <c r="G32" s="34">
        <f>IF(ISBLANK('CWMS Data'!$X34), "", 'CWMS Data'!$X34)</f>
        <v>25100</v>
      </c>
      <c r="H32" s="14" t="str">
        <f t="array" ref="H32">IF(AND(G32=MAX(G$7:G$37), H$7:H31&lt;&gt;"+"), "+", IF(AND(G32=MIN(G$7:G$37), H$7:H31&lt;&gt;"-"), "-", ""))</f>
        <v/>
      </c>
      <c r="I32" s="63">
        <f>IF(ISBLANK('CWMS Data'!$Y34), "", 'CWMS Data'!$Y34)</f>
        <v>0</v>
      </c>
      <c r="J32" s="14" t="str">
        <f t="array" ref="J32">IF(AND(I32=MAX(I$7:I$37), J$7:J31&lt;&gt;"+"), "+", IF(AND(I32=MIN(I$7:I$37), J$7:J31&lt;&gt;"-"), "-", ""))</f>
        <v/>
      </c>
      <c r="K32" s="119">
        <f t="shared" si="0"/>
        <v>25100</v>
      </c>
      <c r="L32" s="13" t="str">
        <f t="array" ref="L32">IF(AND(K32=MAX(K$7:K$37), L$7:L31&lt;&gt;"+"), "+", IF(AND(K32=MIN(K$7:K$37), L$7:L31&lt;&gt;"-"), "-", ""))</f>
        <v/>
      </c>
      <c r="M32" s="34">
        <f>IF(ISBLANK('CWMS Data'!$AA34), "", 'CWMS Data'!$AA34)</f>
        <v>28000.000000000004</v>
      </c>
      <c r="N32" s="13" t="str">
        <f t="array" ref="N32">IF(AND(M32=MAX(M$7:M$37), N$7:N31&lt;&gt;"+"), "+", IF(AND(M32=MIN(M$7:M$37), N$7:N31&lt;&gt;"-"), "-", ""))</f>
        <v/>
      </c>
      <c r="O32" s="35"/>
      <c r="P32" s="35"/>
      <c r="Q32" s="35"/>
    </row>
    <row r="33" spans="1:18" ht="15" x14ac:dyDescent="0.25">
      <c r="A33" s="30">
        <f>IF(ISBLANK('CWMS Data'!$B35), "", 'CWMS Data'!$B35)</f>
        <v>44070</v>
      </c>
      <c r="B33" s="31">
        <f>IF(ISBLANK('CWMS Data'!$AD35), "", 'CWMS Data'!$AD35)</f>
        <v>1613.0599999999997</v>
      </c>
      <c r="C33" s="13" t="str">
        <f t="array" ref="C33">IF(AND(B33=MAX(B$7:B$37), C$7:C32&lt;&gt;"+"), "+", IF(AND(B33=MIN(B$7:B$37), C$7:C32&lt;&gt;"-"), "-", ""))</f>
        <v>+</v>
      </c>
      <c r="D33" s="32">
        <f>IF(ISBLANK('CWMS Data'!$W35), "", 'CWMS Data'!$W35)</f>
        <v>0</v>
      </c>
      <c r="E33" s="135">
        <f>IF(ISBLANK('CWMS Data'!$V35), "", 'CWMS Data'!$V35)</f>
        <v>2400</v>
      </c>
      <c r="F33" s="13" t="str">
        <f t="array" ref="F33">IF(AND(E33=MAX(E$7:E$37), F$7:F32&lt;&gt;"+"), "+", IF(AND(E33=MIN(E$7:E$37), F$7:F32&lt;&gt;"-"), "-", ""))</f>
        <v/>
      </c>
      <c r="G33" s="34">
        <f>IF(ISBLANK('CWMS Data'!$X35), "", 'CWMS Data'!$X35)</f>
        <v>26700</v>
      </c>
      <c r="H33" s="14" t="str">
        <f t="array" ref="H33">IF(AND(G33=MAX(G$7:G$37), H$7:H32&lt;&gt;"+"), "+", IF(AND(G33=MIN(G$7:G$37), H$7:H32&lt;&gt;"-"), "-", ""))</f>
        <v/>
      </c>
      <c r="I33" s="63">
        <f>IF(ISBLANK('CWMS Data'!$Y35), "", 'CWMS Data'!$Y35)</f>
        <v>0</v>
      </c>
      <c r="J33" s="14" t="str">
        <f t="array" ref="J33">IF(AND(I33=MAX(I$7:I$37), J$7:J32&lt;&gt;"+"), "+", IF(AND(I33=MIN(I$7:I$37), J$7:J32&lt;&gt;"-"), "-", ""))</f>
        <v/>
      </c>
      <c r="K33" s="119">
        <f t="shared" si="0"/>
        <v>26700</v>
      </c>
      <c r="L33" s="13" t="str">
        <f t="array" ref="L33">IF(AND(K33=MAX(K$7:K$37), L$7:L32&lt;&gt;"+"), "+", IF(AND(K33=MIN(K$7:K$37), L$7:L32&lt;&gt;"-"), "-", ""))</f>
        <v/>
      </c>
      <c r="M33" s="34">
        <f>IF(ISBLANK('CWMS Data'!$AA35), "", 'CWMS Data'!$AA35)</f>
        <v>28000.000000000004</v>
      </c>
      <c r="N33" s="13" t="str">
        <f t="array" ref="N33">IF(AND(M33=MAX(M$7:M$37), N$7:N32&lt;&gt;"+"), "+", IF(AND(M33=MIN(M$7:M$37), N$7:N32&lt;&gt;"-"), "-", ""))</f>
        <v/>
      </c>
      <c r="O33" s="35"/>
      <c r="P33" s="35"/>
      <c r="Q33" s="35"/>
    </row>
    <row r="34" spans="1:18" ht="15" x14ac:dyDescent="0.25">
      <c r="A34" s="30">
        <f>IF(ISBLANK('CWMS Data'!$B36), "", 'CWMS Data'!$B36)</f>
        <v>44071</v>
      </c>
      <c r="B34" s="31">
        <f>IF(ISBLANK('CWMS Data'!$AD36), "", 'CWMS Data'!$AD36)</f>
        <v>1612.42</v>
      </c>
      <c r="C34" s="13" t="str">
        <f t="array" ref="C34">IF(AND(B34=MAX(B$7:B$37), C$7:C33&lt;&gt;"+"), "+", IF(AND(B34=MIN(B$7:B$37), C$7:C33&lt;&gt;"-"), "-", ""))</f>
        <v/>
      </c>
      <c r="D34" s="32">
        <f>IF(ISBLANK('CWMS Data'!$W36), "", 'CWMS Data'!$W36)</f>
        <v>0</v>
      </c>
      <c r="E34" s="135">
        <f>IF(ISBLANK('CWMS Data'!$V36), "", 'CWMS Data'!$V36)</f>
        <v>2400</v>
      </c>
      <c r="F34" s="13" t="str">
        <f t="array" ref="F34">IF(AND(E34=MAX(E$7:E$37), F$7:F33&lt;&gt;"+"), "+", IF(AND(E34=MIN(E$7:E$37), F$7:F33&lt;&gt;"-"), "-", ""))</f>
        <v/>
      </c>
      <c r="G34" s="34">
        <f>IF(ISBLANK('CWMS Data'!$X36), "", 'CWMS Data'!$X36)</f>
        <v>26700</v>
      </c>
      <c r="H34" s="14" t="str">
        <f t="array" ref="H34">IF(AND(G34=MAX(G$7:G$37), H$7:H33&lt;&gt;"+"), "+", IF(AND(G34=MIN(G$7:G$37), H$7:H33&lt;&gt;"-"), "-", ""))</f>
        <v/>
      </c>
      <c r="I34" s="63">
        <f>IF(ISBLANK('CWMS Data'!$Y36), "", 'CWMS Data'!$Y36)</f>
        <v>0</v>
      </c>
      <c r="J34" s="14" t="str">
        <f t="array" ref="J34">IF(AND(I34=MAX(I$7:I$37), J$7:J33&lt;&gt;"+"), "+", IF(AND(I34=MIN(I$7:I$37), J$7:J33&lt;&gt;"-"), "-", ""))</f>
        <v/>
      </c>
      <c r="K34" s="119">
        <f t="shared" si="0"/>
        <v>26700</v>
      </c>
      <c r="L34" s="13" t="str">
        <f t="array" ref="L34">IF(AND(K34=MAX(K$7:K$37), L$7:L33&lt;&gt;"+"), "+", IF(AND(K34=MIN(K$7:K$37), L$7:L33&lt;&gt;"-"), "-", ""))</f>
        <v/>
      </c>
      <c r="M34" s="34">
        <f>IF(ISBLANK('CWMS Data'!$AA36), "", 'CWMS Data'!$AA36)</f>
        <v>28000.000000000004</v>
      </c>
      <c r="N34" s="13" t="str">
        <f t="array" ref="N34">IF(AND(M34=MAX(M$7:M$37), N$7:N33&lt;&gt;"+"), "+", IF(AND(M34=MIN(M$7:M$37), N$7:N33&lt;&gt;"-"), "-", ""))</f>
        <v/>
      </c>
      <c r="O34" s="35"/>
      <c r="P34" s="35"/>
      <c r="Q34" s="35"/>
    </row>
    <row r="35" spans="1:18" ht="15" x14ac:dyDescent="0.25">
      <c r="A35" s="30">
        <f>IF(ISBLANK('CWMS Data'!$B37), "", 'CWMS Data'!$B37)</f>
        <v>44072</v>
      </c>
      <c r="B35" s="31">
        <f>IF(ISBLANK('CWMS Data'!$AD37), "", 'CWMS Data'!$AD37)</f>
        <v>1612.23</v>
      </c>
      <c r="C35" s="13" t="str">
        <f t="array" ref="C35">IF(AND(B35=MAX(B$7:B$37), C$7:C34&lt;&gt;"+"), "+", IF(AND(B35=MIN(B$7:B$37), C$7:C34&lt;&gt;"-"), "-", ""))</f>
        <v/>
      </c>
      <c r="D35" s="32">
        <f>IF(ISBLANK('CWMS Data'!$W37), "", 'CWMS Data'!$W37)</f>
        <v>0</v>
      </c>
      <c r="E35" s="135">
        <f>IF(ISBLANK('CWMS Data'!$V37), "", 'CWMS Data'!$V37)</f>
        <v>2400</v>
      </c>
      <c r="F35" s="13" t="str">
        <f t="array" ref="F35">IF(AND(E35=MAX(E$7:E$37), F$7:F34&lt;&gt;"+"), "+", IF(AND(E35=MIN(E$7:E$37), F$7:F34&lt;&gt;"-"), "-", ""))</f>
        <v/>
      </c>
      <c r="G35" s="34">
        <f>IF(ISBLANK('CWMS Data'!$X37), "", 'CWMS Data'!$X37)</f>
        <v>25300</v>
      </c>
      <c r="H35" s="14" t="str">
        <f t="array" ref="H35">IF(AND(G35=MAX(G$7:G$37), H$7:H34&lt;&gt;"+"), "+", IF(AND(G35=MIN(G$7:G$37), H$7:H34&lt;&gt;"-"), "-", ""))</f>
        <v/>
      </c>
      <c r="I35" s="63">
        <f>IF(ISBLANK('CWMS Data'!$Y37), "", 'CWMS Data'!$Y37)</f>
        <v>0</v>
      </c>
      <c r="J35" s="14" t="str">
        <f t="array" ref="J35">IF(AND(I35=MAX(I$7:I$37), J$7:J34&lt;&gt;"+"), "+", IF(AND(I35=MIN(I$7:I$37), J$7:J34&lt;&gt;"-"), "-", ""))</f>
        <v/>
      </c>
      <c r="K35" s="119">
        <f t="shared" si="0"/>
        <v>25300</v>
      </c>
      <c r="L35" s="13" t="str">
        <f t="array" ref="L35">IF(AND(K35=MAX(K$7:K$37), L$7:L34&lt;&gt;"+"), "+", IF(AND(K35=MIN(K$7:K$37), L$7:L34&lt;&gt;"-"), "-", ""))</f>
        <v/>
      </c>
      <c r="M35" s="34">
        <f>IF(ISBLANK('CWMS Data'!$AA37), "", 'CWMS Data'!$AA37)</f>
        <v>28000.000000000004</v>
      </c>
      <c r="N35" s="13" t="str">
        <f t="array" ref="N35">IF(AND(M35=MAX(M$7:M$37), N$7:N34&lt;&gt;"+"), "+", IF(AND(M35=MIN(M$7:M$37), N$7:N34&lt;&gt;"-"), "-", ""))</f>
        <v/>
      </c>
      <c r="O35" s="35"/>
      <c r="P35" s="35"/>
      <c r="Q35" s="35"/>
    </row>
    <row r="36" spans="1:18" ht="15" x14ac:dyDescent="0.25">
      <c r="A36" s="30">
        <f>IF(ISBLANK('CWMS Data'!$B38), "", 'CWMS Data'!$B38)</f>
        <v>44073</v>
      </c>
      <c r="B36" s="31">
        <f>IF(ISBLANK('CWMS Data'!$AD38), "", 'CWMS Data'!$AD38)</f>
        <v>1612.95</v>
      </c>
      <c r="C36" s="13" t="str">
        <f t="array" ref="C36">IF(AND(B36=MAX(B$7:B$37), C$7:C35&lt;&gt;"+"), "+", IF(AND(B36=MIN(B$7:B$37), C$7:C35&lt;&gt;"-"), "-", ""))</f>
        <v/>
      </c>
      <c r="D36" s="32">
        <f>IF(ISBLANK('CWMS Data'!$W38), "", 'CWMS Data'!$W38)</f>
        <v>0</v>
      </c>
      <c r="E36" s="128">
        <f>IF(ISBLANK('CWMS Data'!$V38), "", 'CWMS Data'!$V38)</f>
        <v>2400</v>
      </c>
      <c r="F36" s="13" t="str">
        <f t="array" ref="F36">IF(AND(E36=MAX(E$7:E$37), F$7:F35&lt;&gt;"+"), "+", IF(AND(E36=MIN(E$7:E$37), F$7:F35&lt;&gt;"-"), "-", ""))</f>
        <v/>
      </c>
      <c r="G36" s="34">
        <f>IF(ISBLANK('CWMS Data'!$X38), "", 'CWMS Data'!$X38)</f>
        <v>23300</v>
      </c>
      <c r="H36" s="14" t="str">
        <f t="array" ref="H36">IF(AND(G36=MAX(G$7:G$37), H$7:H35&lt;&gt;"+"), "+", IF(AND(G36=MIN(G$7:G$37), H$7:H35&lt;&gt;"-"), "-", ""))</f>
        <v/>
      </c>
      <c r="I36" s="63">
        <f>IF(ISBLANK('CWMS Data'!$Y38), "", 'CWMS Data'!$Y38)</f>
        <v>0</v>
      </c>
      <c r="J36" s="14" t="str">
        <f t="array" ref="J36">IF(AND(I36=MAX(I$7:I$37), J$7:J35&lt;&gt;"+"), "+", IF(AND(I36=MIN(I$7:I$37), J$7:J35&lt;&gt;"-"), "-", ""))</f>
        <v/>
      </c>
      <c r="K36" s="119">
        <f t="shared" si="0"/>
        <v>23300</v>
      </c>
      <c r="L36" s="13" t="str">
        <f t="array" ref="L36">IF(AND(K36=MAX(K$7:K$37), L$7:L35&lt;&gt;"+"), "+", IF(AND(K36=MIN(K$7:K$37), L$7:L35&lt;&gt;"-"), "-", ""))</f>
        <v/>
      </c>
      <c r="M36" s="34">
        <f>IF(ISBLANK('CWMS Data'!$AA38), "", 'CWMS Data'!$AA38)</f>
        <v>28000.000000000004</v>
      </c>
      <c r="N36" s="13" t="str">
        <f t="array" ref="N36">IF(AND(M36=MAX(M$7:M$37), N$7:N35&lt;&gt;"+"), "+", IF(AND(M36=MIN(M$7:M$37), N$7:N35&lt;&gt;"-"), "-", ""))</f>
        <v/>
      </c>
      <c r="O36" s="35"/>
      <c r="P36" s="35"/>
      <c r="Q36" s="35"/>
    </row>
    <row r="37" spans="1:18" ht="15" x14ac:dyDescent="0.25">
      <c r="A37" s="30">
        <f>IF(ISBLANK('CWMS Data'!$B39), "", 'CWMS Data'!$B39)</f>
        <v>44074</v>
      </c>
      <c r="B37" s="31">
        <f>IF(ISBLANK('CWMS Data'!$AD39), "", 'CWMS Data'!$AD39)</f>
        <v>1612.26</v>
      </c>
      <c r="C37" s="13" t="str">
        <f t="array" ref="C37">IF(AND(B37=MAX(B$7:B$37), C$7:C36&lt;&gt;"+"), "+", IF(AND(B37=MIN(B$7:B$37), C$7:C36&lt;&gt;"-"), "-", ""))</f>
        <v/>
      </c>
      <c r="D37" s="32">
        <f>IF(ISBLANK('CWMS Data'!$W39), "", 'CWMS Data'!$W39)</f>
        <v>0</v>
      </c>
      <c r="E37" s="63">
        <f>IF(ISBLANK('CWMS Data'!$V39), "", 'CWMS Data'!$V39)</f>
        <v>2400</v>
      </c>
      <c r="F37" s="13" t="str">
        <f t="array" ref="F37">IF(AND(E37=MAX(E$7:E$37), F$7:F36&lt;&gt;"+"), "+", IF(AND(E37=MIN(E$7:E$37), F$7:F36&lt;&gt;"-"), "-", ""))</f>
        <v/>
      </c>
      <c r="G37" s="34">
        <f>IF(ISBLANK('CWMS Data'!$X39), "", 'CWMS Data'!$X39)</f>
        <v>28200.000000000004</v>
      </c>
      <c r="H37" s="15" t="str">
        <f t="array" ref="H37">IF(AND(G37=MAX(G$7:G$37), H$7:H36&lt;&gt;"+"), "+", IF(AND(G37=MIN(G$7:G$37), H$7:H36&lt;&gt;"-"), "-", ""))</f>
        <v>+</v>
      </c>
      <c r="I37" s="63">
        <f>IF(ISBLANK('CWMS Data'!$Y39), "", 'CWMS Data'!$Y39)</f>
        <v>0</v>
      </c>
      <c r="J37" s="15" t="str">
        <f t="array" ref="J37">IF(AND(I37=MAX(I$7:I$37), J$7:J36&lt;&gt;"+"), "+", IF(AND(I37=MIN(I$7:I$37), J$7:J36&lt;&gt;"-"), "-", ""))</f>
        <v/>
      </c>
      <c r="K37" s="63">
        <f>IF(A37="","",I37+G37)</f>
        <v>28200.000000000004</v>
      </c>
      <c r="L37" s="13" t="str">
        <f t="array" ref="L37">IF(AND(K37=MAX(K$7:K$37), L$7:L36&lt;&gt;"+"), "+", IF(AND(K37=MIN(K$7:K$37), L$7:L36&lt;&gt;"-"), "-", ""))</f>
        <v>+</v>
      </c>
      <c r="M37" s="34">
        <f>IF(ISBLANK('CWMS Data'!$AA39), "", 'CWMS Data'!$AA39)</f>
        <v>28000.000000000004</v>
      </c>
      <c r="N37" s="13" t="str">
        <f t="array" ref="N37">IF(AND(M37=MAX(M$7:M$37), N$7:N36&lt;&gt;"+"), "+", IF(AND(M37=MIN(M$7:M$37), N$7:N36&lt;&gt;"-"), "-", ""))</f>
        <v/>
      </c>
      <c r="O37" s="37"/>
      <c r="P37" s="35"/>
      <c r="Q37" s="35"/>
    </row>
    <row r="38" spans="1:18" ht="15" x14ac:dyDescent="0.25">
      <c r="A38" s="155" t="s">
        <v>0</v>
      </c>
      <c r="B38" s="156"/>
      <c r="C38" s="186"/>
      <c r="D38" s="38">
        <f>SUM(D7:D37)</f>
        <v>0</v>
      </c>
      <c r="E38" s="39">
        <f>ROUND(SUM(E7:E37),-2)</f>
        <v>72400</v>
      </c>
      <c r="F38" s="40"/>
      <c r="G38" s="41">
        <f>ROUND(SUM(G7:G37),-2)</f>
        <v>777900</v>
      </c>
      <c r="H38" s="42"/>
      <c r="I38" s="39">
        <f>ROUND(SUM(I7:I37),-2)</f>
        <v>0</v>
      </c>
      <c r="J38" s="43"/>
      <c r="K38" s="39">
        <f>ROUND(SUM(K7:K37),-2)</f>
        <v>777900</v>
      </c>
      <c r="L38" s="44"/>
      <c r="M38" s="41">
        <f>ROUND(SUM(M7:M37),-3)</f>
        <v>871000</v>
      </c>
      <c r="N38" s="44"/>
      <c r="O38" s="35"/>
      <c r="P38" s="35"/>
      <c r="Q38" s="35"/>
    </row>
    <row r="39" spans="1:18" ht="15" x14ac:dyDescent="0.25">
      <c r="A39" s="187" t="s">
        <v>1</v>
      </c>
      <c r="B39" s="188"/>
      <c r="C39" s="189"/>
      <c r="D39" s="45"/>
      <c r="E39" s="46">
        <f>ROUND(SUM(E7:E37)*(86400/43560),-2)</f>
        <v>143600</v>
      </c>
      <c r="F39" s="47"/>
      <c r="G39" s="46">
        <f>ROUND(SUM(G7:G37)*(86400/43560),-3)</f>
        <v>1543000</v>
      </c>
      <c r="H39" s="49"/>
      <c r="I39" s="46">
        <f>ROUND(SUM(I7:I37)*(86400/43560),-3)</f>
        <v>0</v>
      </c>
      <c r="J39" s="50"/>
      <c r="K39" s="46">
        <f>ROUND(SUM(K7:K37)*(86400/43560),-3)</f>
        <v>1543000</v>
      </c>
      <c r="L39" s="51"/>
      <c r="M39" s="46">
        <f>ROUND(SUM(M7:M37)*(86400/43560),-3)</f>
        <v>1728000</v>
      </c>
      <c r="N39" s="51"/>
      <c r="O39" s="35"/>
      <c r="P39" s="35"/>
      <c r="Q39" s="121"/>
    </row>
    <row r="40" spans="1:18" ht="15" x14ac:dyDescent="0.25">
      <c r="A40" s="17" t="s">
        <v>2</v>
      </c>
      <c r="B40" s="52">
        <f>AVERAGE(B7:B37)</f>
        <v>1612.3670967741934</v>
      </c>
      <c r="C40" s="53"/>
      <c r="D40" s="54">
        <f>AVERAGE(D7:D37)</f>
        <v>0</v>
      </c>
      <c r="E40" s="46">
        <f>ROUND(AVERAGE(E7:E37),-2)</f>
        <v>2300</v>
      </c>
      <c r="F40" s="47"/>
      <c r="G40" s="55">
        <f>ROUND(AVERAGE(G7:G37),-2)</f>
        <v>25100</v>
      </c>
      <c r="H40" s="56"/>
      <c r="I40" s="57">
        <f>ROUND(AVERAGE(I7:I37),-2)</f>
        <v>0</v>
      </c>
      <c r="J40" s="58"/>
      <c r="K40" s="57">
        <f>ROUND(AVERAGE(K7:K37),-2)</f>
        <v>25100</v>
      </c>
      <c r="L40" s="59"/>
      <c r="M40" s="46">
        <f>ROUND(AVERAGE(M7:M37),-2)</f>
        <v>28100</v>
      </c>
      <c r="N40" s="51"/>
      <c r="O40" s="35"/>
      <c r="Q40" s="121"/>
    </row>
    <row r="41" spans="1:18" ht="15" x14ac:dyDescent="0.25">
      <c r="A41" s="155" t="s">
        <v>25</v>
      </c>
      <c r="B41" s="156"/>
      <c r="C41" s="156"/>
      <c r="D41" s="156"/>
      <c r="E41" s="67" t="s">
        <v>31</v>
      </c>
      <c r="F41" s="157">
        <f>INDEX('CWMS Data'!$B$8:$BE$39,MATCH(MAX($A$7:$A$37),'CWMS Data'!$B$8:$B$39,0), 28)</f>
        <v>20237000</v>
      </c>
      <c r="G41" s="157"/>
      <c r="H41" s="62"/>
      <c r="I41" s="62"/>
      <c r="J41" s="153" t="s">
        <v>44</v>
      </c>
      <c r="K41" s="153"/>
      <c r="L41" s="157">
        <f>INDEX('CWMS Data'!$B$8:$BE$39,MATCH(MAX($A$7:$A$37),'CWMS Data'!$B$8:$B$39,0), 28)-'CWMS Data'!AC8</f>
        <v>41000</v>
      </c>
      <c r="M41" s="157"/>
      <c r="N41" s="64"/>
      <c r="Q41" s="121"/>
    </row>
    <row r="42" spans="1:18" ht="15" x14ac:dyDescent="0.25">
      <c r="A42" s="19" t="str">
        <f>TEXT("+ Max", 0)</f>
        <v>+ Max</v>
      </c>
      <c r="B42" s="60"/>
      <c r="C42" s="61"/>
      <c r="D42" s="154" t="s">
        <v>46</v>
      </c>
      <c r="E42" s="154"/>
      <c r="F42" s="157">
        <f>MAX('CWMS Data'!AC9:AC39)</f>
        <v>20241999.999999996</v>
      </c>
      <c r="G42" s="157"/>
      <c r="H42" s="62"/>
      <c r="I42" s="62"/>
      <c r="J42" s="154" t="s">
        <v>33</v>
      </c>
      <c r="K42" s="154"/>
      <c r="L42" s="157">
        <f>MIN('CWMS Data'!AC9:AC39)</f>
        <v>20198000</v>
      </c>
      <c r="M42" s="157"/>
      <c r="N42" s="65"/>
      <c r="Q42" s="121"/>
      <c r="R42" s="121"/>
    </row>
    <row r="43" spans="1:18" ht="15" x14ac:dyDescent="0.25">
      <c r="A43" s="19" t="str">
        <f>TEXT("- Min", 0)</f>
        <v>- Min</v>
      </c>
      <c r="B43" s="60"/>
      <c r="C43" s="61"/>
      <c r="D43" s="185" t="s">
        <v>45</v>
      </c>
      <c r="E43" s="185"/>
      <c r="F43" s="66" t="str">
        <f t="array" ref="F43">TEXT(SUM(IF('CWMS Data'!AB9:AB39&lt;&gt;-901,'CWMS Data'!AB9:AB39)), "0.00")&amp;" inches"</f>
        <v>0.00 inches</v>
      </c>
      <c r="G43" s="66"/>
      <c r="H43" s="62"/>
      <c r="I43" s="62"/>
      <c r="J43" s="61"/>
      <c r="K43" s="62"/>
      <c r="L43" s="61"/>
      <c r="M43" s="62"/>
      <c r="N43" s="65"/>
    </row>
    <row r="44" spans="1:18" x14ac:dyDescent="0.2">
      <c r="A44" s="190" t="s">
        <v>90</v>
      </c>
      <c r="B44" s="191"/>
      <c r="C44" s="191"/>
      <c r="D44" s="191"/>
      <c r="E44" s="191"/>
      <c r="F44" s="191"/>
      <c r="G44" s="191"/>
      <c r="H44" s="191"/>
      <c r="I44" s="191"/>
      <c r="J44" s="191"/>
      <c r="K44" s="191"/>
      <c r="L44" s="191"/>
      <c r="M44" s="196">
        <f>F3</f>
        <v>44044</v>
      </c>
      <c r="N44" s="197"/>
    </row>
    <row r="45" spans="1:18" x14ac:dyDescent="0.2">
      <c r="A45" s="192"/>
      <c r="B45" s="193"/>
      <c r="C45" s="193"/>
      <c r="D45" s="193"/>
      <c r="E45" s="193"/>
      <c r="F45" s="193"/>
      <c r="G45" s="193"/>
      <c r="H45" s="193"/>
      <c r="I45" s="193"/>
      <c r="J45" s="193"/>
      <c r="K45" s="193"/>
      <c r="L45" s="193"/>
      <c r="M45" s="198"/>
      <c r="N45" s="199"/>
    </row>
    <row r="46" spans="1:18" x14ac:dyDescent="0.2">
      <c r="A46" s="194"/>
      <c r="B46" s="195"/>
      <c r="C46" s="195"/>
      <c r="D46" s="195"/>
      <c r="E46" s="195"/>
      <c r="F46" s="195"/>
      <c r="G46" s="195"/>
      <c r="H46" s="195"/>
      <c r="I46" s="195"/>
      <c r="J46" s="195"/>
      <c r="K46" s="195"/>
      <c r="L46" s="195"/>
      <c r="M46" s="200"/>
      <c r="N46" s="201"/>
    </row>
    <row r="47" spans="1:18" x14ac:dyDescent="0.2">
      <c r="M47" s="35"/>
      <c r="N47" s="35"/>
    </row>
  </sheetData>
  <sheetProtection formatCells="0"/>
  <mergeCells count="30">
    <mergeCell ref="A44:L46"/>
    <mergeCell ref="M44:N46"/>
    <mergeCell ref="D43:E43"/>
    <mergeCell ref="G4:N4"/>
    <mergeCell ref="B5:C5"/>
    <mergeCell ref="G5:L5"/>
    <mergeCell ref="M5:N5"/>
    <mergeCell ref="D4:F4"/>
    <mergeCell ref="D42:E42"/>
    <mergeCell ref="F42:G42"/>
    <mergeCell ref="J42:K42"/>
    <mergeCell ref="L42:M42"/>
    <mergeCell ref="P6:S6"/>
    <mergeCell ref="P7:S7"/>
    <mergeCell ref="P8:S8"/>
    <mergeCell ref="A41:D41"/>
    <mergeCell ref="F41:G41"/>
    <mergeCell ref="J41:K41"/>
    <mergeCell ref="L41:M41"/>
    <mergeCell ref="B6:C6"/>
    <mergeCell ref="A38:C38"/>
    <mergeCell ref="A39:C39"/>
    <mergeCell ref="P9:Q9"/>
    <mergeCell ref="P1:Q1"/>
    <mergeCell ref="A1:N1"/>
    <mergeCell ref="A2:E2"/>
    <mergeCell ref="F2:N2"/>
    <mergeCell ref="A3:E3"/>
    <mergeCell ref="F3:H3"/>
    <mergeCell ref="I3:N3"/>
  </mergeCells>
  <conditionalFormatting sqref="A7:N37">
    <cfRule type="expression" dxfId="11" priority="3">
      <formula>AND(DAY($A7) / 5 = INT(DAY($A7) / 5), DAY($A7)&lt;&gt;30)</formula>
    </cfRule>
  </conditionalFormatting>
  <conditionalFormatting sqref="R9">
    <cfRule type="cellIs" dxfId="10" priority="1" operator="notBetween">
      <formula>-99.9999999</formula>
      <formula>99.9999999</formula>
    </cfRule>
  </conditionalFormatting>
  <dataValidations count="2">
    <dataValidation type="list" allowBlank="1" showInputMessage="1" showErrorMessage="1" sqref="R1" xr:uid="{00000000-0002-0000-0200-000000000000}">
      <formula1>"No, Yes"</formula1>
    </dataValidation>
    <dataValidation type="custom" allowBlank="1" showInputMessage="1" showErrorMessage="1" errorTitle="Protected Cell" error="This cell is protected.  To edit, change cell R1 to &quot;No&quot;." sqref="N7:N37 M44:N46 A1:N6 A7:D37 F7:L37 A38:N43" xr:uid="{00000000-0002-0000-0200-000001000000}">
      <formula1>IF($R$1 = "Yes", FALSE, TRUE)</formula1>
    </dataValidation>
  </dataValidations>
  <printOptions horizontalCentered="1" verticalCentered="1"/>
  <pageMargins left="0.7" right="0.7" top="0.5" bottom="0.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41C47DA4-18F6-489F-A9E4-87F68742B646}">
            <xm:f>K7&lt;&gt;'CWMS Data'!Z9</xm:f>
            <x14:dxf>
              <font>
                <b/>
                <i val="0"/>
                <color theme="5"/>
              </font>
              <fill>
                <patternFill>
                  <bgColor theme="5" tint="0.79998168889431442"/>
                </patternFill>
              </fill>
            </x14:dxf>
          </x14:cfRule>
          <xm:sqref>K7:K37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4"/>
  <dimension ref="A1:AF47"/>
  <sheetViews>
    <sheetView zoomScale="90" zoomScaleNormal="90" workbookViewId="0">
      <selection activeCell="G25" sqref="G25"/>
    </sheetView>
  </sheetViews>
  <sheetFormatPr defaultColWidth="9.140625" defaultRowHeight="14.25" x14ac:dyDescent="0.2"/>
  <cols>
    <col min="1" max="1" width="8" style="24" customWidth="1"/>
    <col min="2" max="2" width="11" style="24" customWidth="1"/>
    <col min="3" max="3" width="2" style="24" customWidth="1"/>
    <col min="4" max="5" width="9.85546875" style="24" customWidth="1"/>
    <col min="6" max="6" width="2" style="24" customWidth="1"/>
    <col min="7" max="7" width="9.85546875" style="24" customWidth="1"/>
    <col min="8" max="8" width="2" style="24" customWidth="1"/>
    <col min="9" max="9" width="9.85546875" style="24" customWidth="1"/>
    <col min="10" max="10" width="2" style="24" customWidth="1"/>
    <col min="11" max="11" width="9.85546875" style="24" customWidth="1"/>
    <col min="12" max="12" width="2" style="24" customWidth="1"/>
    <col min="13" max="13" width="9.85546875" style="24" customWidth="1"/>
    <col min="14" max="14" width="2" style="24" customWidth="1"/>
    <col min="15" max="15" width="9.28515625" style="24" customWidth="1"/>
    <col min="16" max="16" width="11" style="24" bestFit="1" customWidth="1"/>
    <col min="17" max="17" width="10.140625" style="24" bestFit="1" customWidth="1"/>
    <col min="18" max="20" width="9.140625" style="24"/>
    <col min="21" max="21" width="11.7109375" style="24" bestFit="1" customWidth="1"/>
    <col min="22" max="23" width="9.140625" style="24"/>
    <col min="24" max="24" width="12" style="24" customWidth="1"/>
    <col min="25" max="16384" width="9.140625" style="24"/>
  </cols>
  <sheetData>
    <row r="1" spans="1:32" ht="15.75" x14ac:dyDescent="0.25">
      <c r="A1" s="160" t="s">
        <v>43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23"/>
      <c r="P1" s="184" t="s">
        <v>67</v>
      </c>
      <c r="Q1" s="184"/>
      <c r="R1" s="116" t="s">
        <v>68</v>
      </c>
    </row>
    <row r="2" spans="1:32" ht="15.75" x14ac:dyDescent="0.25">
      <c r="A2" s="160" t="s">
        <v>59</v>
      </c>
      <c r="B2" s="160"/>
      <c r="C2" s="160"/>
      <c r="D2" s="160"/>
      <c r="E2" s="160"/>
      <c r="F2" s="160" t="s">
        <v>36</v>
      </c>
      <c r="G2" s="160"/>
      <c r="H2" s="160"/>
      <c r="I2" s="160"/>
      <c r="J2" s="160"/>
      <c r="K2" s="160"/>
      <c r="L2" s="160"/>
      <c r="M2" s="160"/>
      <c r="N2" s="160"/>
      <c r="Y2" s="23"/>
      <c r="Z2" s="23"/>
      <c r="AA2" s="23"/>
      <c r="AB2" s="23"/>
      <c r="AC2" s="23"/>
      <c r="AD2" s="23"/>
      <c r="AE2" s="23"/>
      <c r="AF2" s="23"/>
    </row>
    <row r="3" spans="1:32" ht="15" x14ac:dyDescent="0.25">
      <c r="A3" s="164" t="s">
        <v>52</v>
      </c>
      <c r="B3" s="164"/>
      <c r="C3" s="164"/>
      <c r="D3" s="164"/>
      <c r="E3" s="164"/>
      <c r="F3" s="165">
        <f>'CWMS Data'!$B$9</f>
        <v>44044</v>
      </c>
      <c r="G3" s="165"/>
      <c r="H3" s="165"/>
      <c r="I3" s="166" t="s">
        <v>35</v>
      </c>
      <c r="J3" s="167"/>
      <c r="K3" s="167"/>
      <c r="L3" s="167"/>
      <c r="M3" s="167"/>
      <c r="N3" s="167"/>
    </row>
    <row r="4" spans="1:32" ht="15" x14ac:dyDescent="0.25">
      <c r="A4" s="69"/>
      <c r="B4" s="69"/>
      <c r="C4" s="7"/>
      <c r="D4" s="179" t="s">
        <v>56</v>
      </c>
      <c r="E4" s="180"/>
      <c r="F4" s="181"/>
      <c r="G4" s="168" t="s">
        <v>34</v>
      </c>
      <c r="H4" s="169"/>
      <c r="I4" s="169"/>
      <c r="J4" s="169"/>
      <c r="K4" s="169"/>
      <c r="L4" s="170"/>
      <c r="M4" s="170"/>
      <c r="N4" s="171"/>
      <c r="O4" s="25"/>
    </row>
    <row r="5" spans="1:32" ht="15" x14ac:dyDescent="0.25">
      <c r="A5" s="8">
        <f>$F$3</f>
        <v>44044</v>
      </c>
      <c r="B5" s="172" t="s">
        <v>27</v>
      </c>
      <c r="C5" s="173"/>
      <c r="D5" s="21" t="s">
        <v>57</v>
      </c>
      <c r="E5" s="22" t="s">
        <v>58</v>
      </c>
      <c r="F5" s="26"/>
      <c r="G5" s="174" t="s">
        <v>28</v>
      </c>
      <c r="H5" s="174"/>
      <c r="I5" s="174"/>
      <c r="J5" s="175"/>
      <c r="K5" s="175"/>
      <c r="L5" s="176"/>
      <c r="M5" s="177" t="s">
        <v>29</v>
      </c>
      <c r="N5" s="178"/>
    </row>
    <row r="6" spans="1:32" ht="15" x14ac:dyDescent="0.25">
      <c r="A6" s="9">
        <f>$F$3</f>
        <v>44044</v>
      </c>
      <c r="B6" s="182" t="s">
        <v>42</v>
      </c>
      <c r="C6" s="183"/>
      <c r="D6" s="20" t="s">
        <v>40</v>
      </c>
      <c r="E6" s="68" t="s">
        <v>41</v>
      </c>
      <c r="F6" s="27"/>
      <c r="G6" s="68" t="s">
        <v>37</v>
      </c>
      <c r="H6" s="68"/>
      <c r="I6" s="68" t="s">
        <v>38</v>
      </c>
      <c r="J6" s="68"/>
      <c r="K6" s="68" t="s">
        <v>39</v>
      </c>
      <c r="L6" s="12"/>
      <c r="M6" s="20"/>
      <c r="N6" s="28"/>
      <c r="O6" s="29"/>
      <c r="P6" s="161" t="s">
        <v>60</v>
      </c>
      <c r="Q6" s="162"/>
      <c r="R6" s="162"/>
      <c r="S6" s="163"/>
    </row>
    <row r="7" spans="1:32" ht="15" x14ac:dyDescent="0.25">
      <c r="A7" s="30">
        <f>IF(ISBLANK('CWMS Data'!$B9), "", 'CWMS Data'!$B9)</f>
        <v>44044</v>
      </c>
      <c r="B7" s="31">
        <f>IF(ISBLANK('CWMS Data'!$AM9), "", 'CWMS Data'!$AM9)</f>
        <v>1420.54</v>
      </c>
      <c r="C7" s="13" t="str">
        <f>IF(B7=MAX(B$7:B$37),"+", IF(B7=MIN(B$7:B$37), "-", ""))</f>
        <v/>
      </c>
      <c r="D7" s="32">
        <f>IF(ISBLANK('CWMS Data'!$AF9), "", 'CWMS Data'!$AF9)</f>
        <v>0</v>
      </c>
      <c r="E7" s="118">
        <v>500</v>
      </c>
      <c r="F7" s="13" t="str">
        <f>IF(E7=MAX(E$7:E$37),"+", IF(E7=MIN(E$7:E$37), "-", ""))</f>
        <v>-</v>
      </c>
      <c r="G7" s="34">
        <f>IF(ISBLANK('CWMS Data'!$AG9), "", 'CWMS Data'!$AG9)</f>
        <v>16300</v>
      </c>
      <c r="H7" s="16" t="str">
        <f>IF(G7=MAX(G$7:G$37),"+", IF(G7=MIN(G$7:G$37), "-", ""))</f>
        <v/>
      </c>
      <c r="I7" s="63">
        <f>IF(ISBLANK('CWMS Data'!$AH9), "", 'CWMS Data'!$AH9)</f>
        <v>0</v>
      </c>
      <c r="J7" s="16" t="str">
        <f>IF(I7=MAX(I$7:I$37),"+", IF(I7=MIN(I$7:I$37), "-", ""))</f>
        <v>+</v>
      </c>
      <c r="K7" s="119">
        <f t="shared" ref="K7:K36" si="0">IF(A7="","",I7+G7)</f>
        <v>16300</v>
      </c>
      <c r="L7" s="13" t="str">
        <f>IF(K7=MAX(K$7:K$37),"+", IF(K7=MIN(K$7:K$37), "-", ""))</f>
        <v/>
      </c>
      <c r="M7" s="34">
        <f>IF(ISBLANK('CWMS Data'!$AJ9), "", 'CWMS Data'!$AJ9)</f>
        <v>26000</v>
      </c>
      <c r="N7" s="13" t="str">
        <f>IF(M7=MAX(M$7:M$37),"+", IF(M7=MIN(M$7:M$37), "-", ""))</f>
        <v/>
      </c>
      <c r="O7" s="35"/>
      <c r="P7" s="147" t="str">
        <f>IF(ROUND(BEND_Storage_Diff_cfs, -3)&lt;0, "Add " &amp; ABS(ROUNDDOWN(BEND_Storage_Diff_cfs, -3)) &amp; " cfs to inflow", "Subtract " &amp; IF(ABS(BEND_Storage_Diff_acft) &lt; 100, 0, ABS(ROUNDDOWN(BEND_Storage_Diff_cfs, -3))) &amp; " cfs to inflow")</f>
        <v>Subtract 0 cfs to inflow</v>
      </c>
      <c r="Q7" s="148"/>
      <c r="R7" s="148"/>
      <c r="S7" s="149"/>
    </row>
    <row r="8" spans="1:32" ht="15" x14ac:dyDescent="0.25">
      <c r="A8" s="30">
        <f>IF(ISBLANK('CWMS Data'!$B10), "", 'CWMS Data'!$B10)</f>
        <v>44045</v>
      </c>
      <c r="B8" s="31">
        <f>IF(ISBLANK('CWMS Data'!$AM10), "", 'CWMS Data'!$AM10)</f>
        <v>1420.8</v>
      </c>
      <c r="C8" s="13" t="str">
        <f t="array" ref="C8">IF(AND(B8=MAX(B$7:B$37), C$7:C7&lt;&gt;"+"), "+", IF(AND(B8=MIN(B$7:B$37), C$7:C7&lt;&gt;"-"), "-", ""))</f>
        <v/>
      </c>
      <c r="D8" s="32">
        <f>IF(ISBLANK('CWMS Data'!$AF10), "", 'CWMS Data'!$AF10)</f>
        <v>0</v>
      </c>
      <c r="E8" s="141">
        <v>500</v>
      </c>
      <c r="F8" s="13" t="str">
        <f t="array" ref="F8">IF(AND(E8=MAX(E$7:E$37), F$7:F7&lt;&gt;"+"), "+", IF(AND(E8=MIN(E$7:E$37), F$7:F7&lt;&gt;"-"), "-", ""))</f>
        <v/>
      </c>
      <c r="G8" s="34">
        <f>IF(ISBLANK('CWMS Data'!$AG10), "", 'CWMS Data'!$AG10)</f>
        <v>15500</v>
      </c>
      <c r="H8" s="14" t="str">
        <f t="array" ref="H8">IF(AND(G8=MAX(G$7:G$37), H$7:H7&lt;&gt;"+"), "+", IF(AND(G8=MIN(G$7:G$37), H$7:H7&lt;&gt;"-"), "-", ""))</f>
        <v/>
      </c>
      <c r="I8" s="63">
        <f>IF(ISBLANK('CWMS Data'!$AH10), "", 'CWMS Data'!$AH10)</f>
        <v>0</v>
      </c>
      <c r="J8" s="14" t="str">
        <f t="array" ref="J8">IF(AND(I8=MAX(I$7:I$37), J$7:J7&lt;&gt;"+"), "+", IF(AND(I8=MIN(I$7:I$37), J$7:J7&lt;&gt;"-"), "-", ""))</f>
        <v>-</v>
      </c>
      <c r="K8" s="119">
        <f t="shared" si="0"/>
        <v>15500</v>
      </c>
      <c r="L8" s="13" t="str">
        <f t="array" ref="L8">IF(AND(K8=MAX(K$7:K$37), L$7:L7&lt;&gt;"+"), "+", IF(AND(K8=MIN(K$7:K$37), L$7:L7&lt;&gt;"-"), "-", ""))</f>
        <v/>
      </c>
      <c r="M8" s="34">
        <f>IF(ISBLANK('CWMS Data'!$AJ10), "", 'CWMS Data'!$AJ10)</f>
        <v>24000</v>
      </c>
      <c r="N8" s="13" t="str">
        <f t="array" ref="N8">IF(AND(M8=MAX(M$7:M$37), N$7:N7&lt;&gt;"+"), "+", IF(AND(M8=MIN(M$7:M$37), N$7:N7&lt;&gt;"-"), "-", ""))</f>
        <v/>
      </c>
      <c r="O8" s="35"/>
      <c r="P8" s="150" t="str">
        <f>IF(ROUND(ROUNDDOWN(BEND_Storage_Diff_cfs, -3) - BEND_Storage_Diff_cfs, -2)&lt;0, "Add ", "Subtract ") &amp; IF(ABS(BEND_Storage_Diff_acft) &lt; 100, 0, ABS(ROUND(ROUNDDOWN(BEND_Storage_Diff_cfs, -3) - BEND_Storage_Diff_cfs, -2))) &amp; " cfs to evap"</f>
        <v>Subtract 0 cfs to evap</v>
      </c>
      <c r="Q8" s="151"/>
      <c r="R8" s="151"/>
      <c r="S8" s="152"/>
      <c r="X8" s="35"/>
    </row>
    <row r="9" spans="1:32" ht="15" x14ac:dyDescent="0.25">
      <c r="A9" s="30">
        <f>IF(ISBLANK('CWMS Data'!$B11), "", 'CWMS Data'!$B11)</f>
        <v>44046</v>
      </c>
      <c r="B9" s="31">
        <f>IF(ISBLANK('CWMS Data'!$AM11), "", 'CWMS Data'!$AM11)</f>
        <v>1420.57</v>
      </c>
      <c r="C9" s="13" t="str">
        <f t="array" ref="C9">IF(AND(B9=MAX(B$7:B$37), C$7:C8&lt;&gt;"+"), "+", IF(AND(B9=MIN(B$7:B$37), C$7:C8&lt;&gt;"-"), "-", ""))</f>
        <v/>
      </c>
      <c r="D9" s="32">
        <f>IF(ISBLANK('CWMS Data'!$AF11), "", 'CWMS Data'!$AF11)</f>
        <v>0</v>
      </c>
      <c r="E9" s="141">
        <v>500</v>
      </c>
      <c r="F9" s="13" t="str">
        <f t="array" ref="F9">IF(AND(E9=MAX(E$7:E$37), F$7:F8&lt;&gt;"+"), "+", IF(AND(E9=MIN(E$7:E$37), F$7:F8&lt;&gt;"-"), "-", ""))</f>
        <v/>
      </c>
      <c r="G9" s="34">
        <f>IF(ISBLANK('CWMS Data'!$AG11), "", 'CWMS Data'!$AG11)</f>
        <v>30100</v>
      </c>
      <c r="H9" s="14" t="str">
        <f t="array" ref="H9">IF(AND(G9=MAX(G$7:G$37), H$7:H8&lt;&gt;"+"), "+", IF(AND(G9=MIN(G$7:G$37), H$7:H8&lt;&gt;"-"), "-", ""))</f>
        <v/>
      </c>
      <c r="I9" s="63">
        <f>IF(ISBLANK('CWMS Data'!$AH11), "", 'CWMS Data'!$AH11)</f>
        <v>0</v>
      </c>
      <c r="J9" s="14" t="str">
        <f t="array" ref="J9">IF(AND(I9=MAX(I$7:I$37), J$7:J8&lt;&gt;"+"), "+", IF(AND(I9=MIN(I$7:I$37), J$7:J8&lt;&gt;"-"), "-", ""))</f>
        <v/>
      </c>
      <c r="K9" s="119">
        <f t="shared" si="0"/>
        <v>30100</v>
      </c>
      <c r="L9" s="13" t="str">
        <f t="array" ref="L9">IF(AND(K9=MAX(K$7:K$37), L$7:L8&lt;&gt;"+"), "+", IF(AND(K9=MIN(K$7:K$37), L$7:L8&lt;&gt;"-"), "-", ""))</f>
        <v/>
      </c>
      <c r="M9" s="34">
        <f>IF(ISBLANK('CWMS Data'!$AJ11), "", 'CWMS Data'!$AJ11)</f>
        <v>24000</v>
      </c>
      <c r="N9" s="13" t="str">
        <f t="array" ref="N9">IF(AND(M9=MAX(M$7:M$37), N$7:N8&lt;&gt;"+"), "+", IF(AND(M9=MIN(M$7:M$37), N$7:N8&lt;&gt;"-"), "-", ""))</f>
        <v/>
      </c>
      <c r="O9" s="35"/>
      <c r="P9" s="158" t="s">
        <v>70</v>
      </c>
      <c r="Q9" s="159"/>
      <c r="R9" s="126">
        <f>BEND_Storage_Diff_acft</f>
        <v>-8.2644628099151305</v>
      </c>
      <c r="S9" s="127" t="s">
        <v>71</v>
      </c>
      <c r="X9" s="35"/>
    </row>
    <row r="10" spans="1:32" ht="15" x14ac:dyDescent="0.25">
      <c r="A10" s="30">
        <f>IF(ISBLANK('CWMS Data'!$B12), "", 'CWMS Data'!$B12)</f>
        <v>44047</v>
      </c>
      <c r="B10" s="31">
        <f>IF(ISBLANK('CWMS Data'!$AM12), "", 'CWMS Data'!$AM12)</f>
        <v>1420.44</v>
      </c>
      <c r="C10" s="13" t="str">
        <f t="array" ref="C10">IF(AND(B10=MAX(B$7:B$37), C$7:C9&lt;&gt;"+"), "+", IF(AND(B10=MIN(B$7:B$37), C$7:C9&lt;&gt;"-"), "-", ""))</f>
        <v/>
      </c>
      <c r="D10" s="32">
        <f>IF(ISBLANK('CWMS Data'!$AF12), "", 'CWMS Data'!$AF12)</f>
        <v>0</v>
      </c>
      <c r="E10" s="141">
        <v>500</v>
      </c>
      <c r="F10" s="13" t="str">
        <f t="array" ref="F10">IF(AND(E10=MAX(E$7:E$37), F$7:F9&lt;&gt;"+"), "+", IF(AND(E10=MIN(E$7:E$37), F$7:F9&lt;&gt;"-"), "-", ""))</f>
        <v/>
      </c>
      <c r="G10" s="34">
        <f>IF(ISBLANK('CWMS Data'!$AG12), "", 'CWMS Data'!$AG12)</f>
        <v>30400.000000000004</v>
      </c>
      <c r="H10" s="14" t="str">
        <f t="array" ref="H10">IF(AND(G10=MAX(G$7:G$37), H$7:H9&lt;&gt;"+"), "+", IF(AND(G10=MIN(G$7:G$37), H$7:H9&lt;&gt;"-"), "-", ""))</f>
        <v>+</v>
      </c>
      <c r="I10" s="63">
        <f>IF(ISBLANK('CWMS Data'!$AH12), "", 'CWMS Data'!$AH12)</f>
        <v>0</v>
      </c>
      <c r="J10" s="14" t="str">
        <f t="array" ref="J10">IF(AND(I10=MAX(I$7:I$37), J$7:J9&lt;&gt;"+"), "+", IF(AND(I10=MIN(I$7:I$37), J$7:J9&lt;&gt;"-"), "-", ""))</f>
        <v/>
      </c>
      <c r="K10" s="119">
        <f t="shared" si="0"/>
        <v>30400.000000000004</v>
      </c>
      <c r="L10" s="13" t="str">
        <f t="array" ref="L10">IF(AND(K10=MAX(K$7:K$37), L$7:L9&lt;&gt;"+"), "+", IF(AND(K10=MIN(K$7:K$37), L$7:L9&lt;&gt;"-"), "-", ""))</f>
        <v>+</v>
      </c>
      <c r="M10" s="34">
        <f>IF(ISBLANK('CWMS Data'!$AJ12), "", 'CWMS Data'!$AJ12)</f>
        <v>26000</v>
      </c>
      <c r="N10" s="13" t="str">
        <f t="array" ref="N10">IF(AND(M10=MAX(M$7:M$37), N$7:N9&lt;&gt;"+"), "+", IF(AND(M10=MIN(M$7:M$37), N$7:N9&lt;&gt;"-"), "-", ""))</f>
        <v/>
      </c>
      <c r="O10" s="35"/>
      <c r="X10" s="35"/>
    </row>
    <row r="11" spans="1:32" ht="15" x14ac:dyDescent="0.25">
      <c r="A11" s="36">
        <f>IF(ISBLANK('CWMS Data'!$B13), "", 'CWMS Data'!$B13)</f>
        <v>44048</v>
      </c>
      <c r="B11" s="31">
        <f>IF(ISBLANK('CWMS Data'!$AM13), "", 'CWMS Data'!$AM13)</f>
        <v>1420.33</v>
      </c>
      <c r="C11" s="13" t="str">
        <f t="array" ref="C11">IF(AND(B11=MAX(B$7:B$37), C$7:C10&lt;&gt;"+"), "+", IF(AND(B11=MIN(B$7:B$37), C$7:C10&lt;&gt;"-"), "-", ""))</f>
        <v/>
      </c>
      <c r="D11" s="32">
        <f>IF(ISBLANK('CWMS Data'!$AF13), "", 'CWMS Data'!$AF13)</f>
        <v>0</v>
      </c>
      <c r="E11" s="138">
        <v>500</v>
      </c>
      <c r="F11" s="13" t="str">
        <f t="array" ref="F11">IF(AND(E11=MAX(E$7:E$37), F$7:F10&lt;&gt;"+"), "+", IF(AND(E11=MIN(E$7:E$37), F$7:F10&lt;&gt;"-"), "-", ""))</f>
        <v/>
      </c>
      <c r="G11" s="34">
        <f>IF(ISBLANK('CWMS Data'!$AG13), "", 'CWMS Data'!$AG13)</f>
        <v>29800.000000000004</v>
      </c>
      <c r="H11" s="14" t="str">
        <f t="array" ref="H11">IF(AND(G11=MAX(G$7:G$37), H$7:H10&lt;&gt;"+"), "+", IF(AND(G11=MIN(G$7:G$37), H$7:H10&lt;&gt;"-"), "-", ""))</f>
        <v/>
      </c>
      <c r="I11" s="63">
        <f>IF(ISBLANK('CWMS Data'!$AH13), "", 'CWMS Data'!$AH13)</f>
        <v>0</v>
      </c>
      <c r="J11" s="14" t="str">
        <f t="array" ref="J11">IF(AND(I11=MAX(I$7:I$37), J$7:J10&lt;&gt;"+"), "+", IF(AND(I11=MIN(I$7:I$37), J$7:J10&lt;&gt;"-"), "-", ""))</f>
        <v/>
      </c>
      <c r="K11" s="119">
        <f t="shared" si="0"/>
        <v>29800.000000000004</v>
      </c>
      <c r="L11" s="13" t="str">
        <f t="array" ref="L11">IF(AND(K11=MAX(K$7:K$37), L$7:L10&lt;&gt;"+"), "+", IF(AND(K11=MIN(K$7:K$37), L$7:L10&lt;&gt;"-"), "-", ""))</f>
        <v/>
      </c>
      <c r="M11" s="34">
        <f>IF(ISBLANK('CWMS Data'!$AJ13), "", 'CWMS Data'!$AJ13)</f>
        <v>26000</v>
      </c>
      <c r="N11" s="13" t="str">
        <f t="array" ref="N11">IF(AND(M11=MAX(M$7:M$37), N$7:N10&lt;&gt;"+"), "+", IF(AND(M11=MIN(M$7:M$37), N$7:N10&lt;&gt;"-"), "-", ""))</f>
        <v/>
      </c>
      <c r="O11" s="35"/>
      <c r="Q11" s="35"/>
    </row>
    <row r="12" spans="1:32" ht="15" x14ac:dyDescent="0.25">
      <c r="A12" s="30">
        <f>IF(ISBLANK('CWMS Data'!$B14), "", 'CWMS Data'!$B14)</f>
        <v>44049</v>
      </c>
      <c r="B12" s="31">
        <f>IF(ISBLANK('CWMS Data'!$AM14), "", 'CWMS Data'!$AM14)</f>
        <v>1420.2</v>
      </c>
      <c r="C12" s="13" t="str">
        <f t="array" ref="C12">IF(AND(B12=MAX(B$7:B$37), C$7:C11&lt;&gt;"+"), "+", IF(AND(B12=MIN(B$7:B$37), C$7:C11&lt;&gt;"-"), "-", ""))</f>
        <v>-</v>
      </c>
      <c r="D12" s="32">
        <f>IF(ISBLANK('CWMS Data'!$AF14), "", 'CWMS Data'!$AF14)</f>
        <v>0</v>
      </c>
      <c r="E12" s="138">
        <v>500</v>
      </c>
      <c r="F12" s="13" t="str">
        <f t="array" ref="F12">IF(AND(E12=MAX(E$7:E$37), F$7:F11&lt;&gt;"+"), "+", IF(AND(E12=MIN(E$7:E$37), F$7:F11&lt;&gt;"-"), "-", ""))</f>
        <v/>
      </c>
      <c r="G12" s="34">
        <f>IF(ISBLANK('CWMS Data'!$AG14), "", 'CWMS Data'!$AG14)</f>
        <v>30200.000000000004</v>
      </c>
      <c r="H12" s="14" t="str">
        <f t="array" ref="H12">IF(AND(G12=MAX(G$7:G$37), H$7:H11&lt;&gt;"+"), "+", IF(AND(G12=MIN(G$7:G$37), H$7:H11&lt;&gt;"-"), "-", ""))</f>
        <v/>
      </c>
      <c r="I12" s="63">
        <f>IF(ISBLANK('CWMS Data'!$AH14), "", 'CWMS Data'!$AH14)</f>
        <v>0</v>
      </c>
      <c r="J12" s="14" t="str">
        <f t="array" ref="J12">IF(AND(I12=MAX(I$7:I$37), J$7:J11&lt;&gt;"+"), "+", IF(AND(I12=MIN(I$7:I$37), J$7:J11&lt;&gt;"-"), "-", ""))</f>
        <v/>
      </c>
      <c r="K12" s="119">
        <f t="shared" si="0"/>
        <v>30200.000000000004</v>
      </c>
      <c r="L12" s="13" t="str">
        <f t="array" ref="L12">IF(AND(K12=MAX(K$7:K$37), L$7:L11&lt;&gt;"+"), "+", IF(AND(K12=MIN(K$7:K$37), L$7:L11&lt;&gt;"-"), "-", ""))</f>
        <v/>
      </c>
      <c r="M12" s="34">
        <f>IF(ISBLANK('CWMS Data'!$AJ14), "", 'CWMS Data'!$AJ14)</f>
        <v>27000.000000000004</v>
      </c>
      <c r="N12" s="13" t="str">
        <f t="array" ref="N12">IF(AND(M12=MAX(M$7:M$37), N$7:N11&lt;&gt;"+"), "+", IF(AND(M12=MIN(M$7:M$37), N$7:N11&lt;&gt;"-"), "-", ""))</f>
        <v/>
      </c>
      <c r="O12" s="35"/>
      <c r="Q12" s="35"/>
    </row>
    <row r="13" spans="1:32" ht="15" x14ac:dyDescent="0.25">
      <c r="A13" s="30">
        <f>IF(ISBLANK('CWMS Data'!$B15), "", 'CWMS Data'!$B15)</f>
        <v>44050</v>
      </c>
      <c r="B13" s="31">
        <f>IF(ISBLANK('CWMS Data'!$AM15), "", 'CWMS Data'!$AM15)</f>
        <v>1420.23</v>
      </c>
      <c r="C13" s="13" t="str">
        <f t="array" ref="C13">IF(AND(B13=MAX(B$7:B$37), C$7:C12&lt;&gt;"+"), "+", IF(AND(B13=MIN(B$7:B$37), C$7:C12&lt;&gt;"-"), "-", ""))</f>
        <v/>
      </c>
      <c r="D13" s="32">
        <f>IF(ISBLANK('CWMS Data'!$AF15), "", 'CWMS Data'!$AF15)</f>
        <v>0</v>
      </c>
      <c r="E13" s="138">
        <v>500</v>
      </c>
      <c r="F13" s="13" t="str">
        <f t="array" ref="F13">IF(AND(E13=MAX(E$7:E$37), F$7:F12&lt;&gt;"+"), "+", IF(AND(E13=MIN(E$7:E$37), F$7:F12&lt;&gt;"-"), "-", ""))</f>
        <v/>
      </c>
      <c r="G13" s="34">
        <f>IF(ISBLANK('CWMS Data'!$AG15), "", 'CWMS Data'!$AG15)</f>
        <v>27500.000000000004</v>
      </c>
      <c r="H13" s="14" t="str">
        <f t="array" ref="H13">IF(AND(G13=MAX(G$7:G$37), H$7:H12&lt;&gt;"+"), "+", IF(AND(G13=MIN(G$7:G$37), H$7:H12&lt;&gt;"-"), "-", ""))</f>
        <v/>
      </c>
      <c r="I13" s="63">
        <f>IF(ISBLANK('CWMS Data'!$AH15), "", 'CWMS Data'!$AH15)</f>
        <v>0</v>
      </c>
      <c r="J13" s="14" t="str">
        <f t="array" ref="J13">IF(AND(I13=MAX(I$7:I$37), J$7:J12&lt;&gt;"+"), "+", IF(AND(I13=MIN(I$7:I$37), J$7:J12&lt;&gt;"-"), "-", ""))</f>
        <v/>
      </c>
      <c r="K13" s="119">
        <f t="shared" si="0"/>
        <v>27500.000000000004</v>
      </c>
      <c r="L13" s="13" t="str">
        <f t="array" ref="L13">IF(AND(K13=MAX(K$7:K$37), L$7:L12&lt;&gt;"+"), "+", IF(AND(K13=MIN(K$7:K$37), L$7:L12&lt;&gt;"-"), "-", ""))</f>
        <v/>
      </c>
      <c r="M13" s="34">
        <f>IF(ISBLANK('CWMS Data'!$AJ15), "", 'CWMS Data'!$AJ15)</f>
        <v>29000.000000000004</v>
      </c>
      <c r="N13" s="13" t="str">
        <f t="array" ref="N13">IF(AND(M13=MAX(M$7:M$37), N$7:N12&lt;&gt;"+"), "+", IF(AND(M13=MIN(M$7:M$37), N$7:N12&lt;&gt;"-"), "-", ""))</f>
        <v>+</v>
      </c>
      <c r="O13" s="35"/>
      <c r="Q13" s="35"/>
    </row>
    <row r="14" spans="1:32" ht="15" x14ac:dyDescent="0.25">
      <c r="A14" s="30">
        <f>IF(ISBLANK('CWMS Data'!$B16), "", 'CWMS Data'!$B16)</f>
        <v>44051</v>
      </c>
      <c r="B14" s="31">
        <f>IF(ISBLANK('CWMS Data'!$AM16), "", 'CWMS Data'!$AM16)</f>
        <v>1420.68</v>
      </c>
      <c r="C14" s="13" t="str">
        <f t="array" ref="C14">IF(AND(B14=MAX(B$7:B$37), C$7:C13&lt;&gt;"+"), "+", IF(AND(B14=MIN(B$7:B$37), C$7:C13&lt;&gt;"-"), "-", ""))</f>
        <v/>
      </c>
      <c r="D14" s="32">
        <f>IF(ISBLANK('CWMS Data'!$AF16), "", 'CWMS Data'!$AF16)</f>
        <v>0</v>
      </c>
      <c r="E14" s="63">
        <f>IF(ISBLANK('CWMS Data'!$AE16), "", 'CWMS Data'!$AE16)</f>
        <v>600</v>
      </c>
      <c r="F14" s="13" t="str">
        <f t="array" ref="F14">IF(AND(E14=MAX(E$7:E$37), F$7:F13&lt;&gt;"+"), "+", IF(AND(E14=MIN(E$7:E$37), F$7:F13&lt;&gt;"-"), "-", ""))</f>
        <v>+</v>
      </c>
      <c r="G14" s="34">
        <f>IF(ISBLANK('CWMS Data'!$AG16), "", 'CWMS Data'!$AG16)</f>
        <v>12900</v>
      </c>
      <c r="H14" s="14" t="str">
        <f t="array" ref="H14">IF(AND(G14=MAX(G$7:G$37), H$7:H13&lt;&gt;"+"), "+", IF(AND(G14=MIN(G$7:G$37), H$7:H13&lt;&gt;"-"), "-", ""))</f>
        <v/>
      </c>
      <c r="I14" s="63">
        <f>IF(ISBLANK('CWMS Data'!$AH16), "", 'CWMS Data'!$AH16)</f>
        <v>0</v>
      </c>
      <c r="J14" s="14" t="str">
        <f t="array" ref="J14">IF(AND(I14=MAX(I$7:I$37), J$7:J13&lt;&gt;"+"), "+", IF(AND(I14=MIN(I$7:I$37), J$7:J13&lt;&gt;"-"), "-", ""))</f>
        <v/>
      </c>
      <c r="K14" s="119">
        <f t="shared" si="0"/>
        <v>12900</v>
      </c>
      <c r="L14" s="13" t="str">
        <f t="array" ref="L14">IF(AND(K14=MAX(K$7:K$37), L$7:L13&lt;&gt;"+"), "+", IF(AND(K14=MIN(K$7:K$37), L$7:L13&lt;&gt;"-"), "-", ""))</f>
        <v/>
      </c>
      <c r="M14" s="34">
        <f>IF(ISBLANK('CWMS Data'!$AJ16), "", 'CWMS Data'!$AJ16)</f>
        <v>26000</v>
      </c>
      <c r="N14" s="13" t="str">
        <f t="array" ref="N14">IF(AND(M14=MAX(M$7:M$37), N$7:N13&lt;&gt;"+"), "+", IF(AND(M14=MIN(M$7:M$37), N$7:N13&lt;&gt;"-"), "-", ""))</f>
        <v/>
      </c>
      <c r="O14" s="35"/>
      <c r="Q14" s="35"/>
    </row>
    <row r="15" spans="1:32" ht="15" x14ac:dyDescent="0.25">
      <c r="A15" s="30">
        <f>IF(ISBLANK('CWMS Data'!$B17), "", 'CWMS Data'!$B17)</f>
        <v>44052</v>
      </c>
      <c r="B15" s="31">
        <f>IF(ISBLANK('CWMS Data'!$AM17), "", 'CWMS Data'!$AM17)</f>
        <v>1421.1099999999997</v>
      </c>
      <c r="C15" s="13" t="str">
        <f t="array" ref="C15">IF(AND(B15=MAX(B$7:B$37), C$7:C14&lt;&gt;"+"), "+", IF(AND(B15=MIN(B$7:B$37), C$7:C14&lt;&gt;"-"), "-", ""))</f>
        <v>+</v>
      </c>
      <c r="D15" s="32">
        <f>IF(ISBLANK('CWMS Data'!$AF17), "", 'CWMS Data'!$AF17)</f>
        <v>0</v>
      </c>
      <c r="E15" s="63">
        <f>IF(ISBLANK('CWMS Data'!$AE17), "", 'CWMS Data'!$AE17)</f>
        <v>600</v>
      </c>
      <c r="F15" s="13" t="str">
        <f t="array" ref="F15">IF(AND(E15=MAX(E$7:E$37), F$7:F14&lt;&gt;"+"), "+", IF(AND(E15=MIN(E$7:E$37), F$7:F14&lt;&gt;"-"), "-", ""))</f>
        <v/>
      </c>
      <c r="G15" s="34">
        <f>IF(ISBLANK('CWMS Data'!$AG17), "", 'CWMS Data'!$AG17)</f>
        <v>11900</v>
      </c>
      <c r="H15" s="14" t="str">
        <f t="array" ref="H15">IF(AND(G15=MAX(G$7:G$37), H$7:H14&lt;&gt;"+"), "+", IF(AND(G15=MIN(G$7:G$37), H$7:H14&lt;&gt;"-"), "-", ""))</f>
        <v/>
      </c>
      <c r="I15" s="63">
        <f>IF(ISBLANK('CWMS Data'!$AH17), "", 'CWMS Data'!$AH17)</f>
        <v>0</v>
      </c>
      <c r="J15" s="14" t="str">
        <f t="array" ref="J15">IF(AND(I15=MAX(I$7:I$37), J$7:J14&lt;&gt;"+"), "+", IF(AND(I15=MIN(I$7:I$37), J$7:J14&lt;&gt;"-"), "-", ""))</f>
        <v/>
      </c>
      <c r="K15" s="119">
        <f t="shared" si="0"/>
        <v>11900</v>
      </c>
      <c r="L15" s="13" t="str">
        <f t="array" ref="L15">IF(AND(K15=MAX(K$7:K$37), L$7:L14&lt;&gt;"+"), "+", IF(AND(K15=MIN(K$7:K$37), L$7:L14&lt;&gt;"-"), "-", ""))</f>
        <v/>
      </c>
      <c r="M15" s="34">
        <f>IF(ISBLANK('CWMS Data'!$AJ17), "", 'CWMS Data'!$AJ17)</f>
        <v>26000</v>
      </c>
      <c r="N15" s="13" t="str">
        <f t="array" ref="N15">IF(AND(M15=MAX(M$7:M$37), N$7:N14&lt;&gt;"+"), "+", IF(AND(M15=MIN(M$7:M$37), N$7:N14&lt;&gt;"-"), "-", ""))</f>
        <v/>
      </c>
      <c r="O15" s="35"/>
      <c r="P15" s="35"/>
      <c r="Q15" s="35"/>
    </row>
    <row r="16" spans="1:32" ht="15" x14ac:dyDescent="0.25">
      <c r="A16" s="36">
        <f>IF(ISBLANK('CWMS Data'!$B18), "", 'CWMS Data'!$B18)</f>
        <v>44053</v>
      </c>
      <c r="B16" s="31">
        <f>IF(ISBLANK('CWMS Data'!$AM18), "", 'CWMS Data'!$AM18)</f>
        <v>1421</v>
      </c>
      <c r="C16" s="13" t="str">
        <f t="array" ref="C16">IF(AND(B16=MAX(B$7:B$37), C$7:C15&lt;&gt;"+"), "+", IF(AND(B16=MIN(B$7:B$37), C$7:C15&lt;&gt;"-"), "-", ""))</f>
        <v/>
      </c>
      <c r="D16" s="32">
        <f>IF(ISBLANK('CWMS Data'!$AF18), "", 'CWMS Data'!$AF18)</f>
        <v>0</v>
      </c>
      <c r="E16" s="63">
        <f>IF(ISBLANK('CWMS Data'!$AE18), "", 'CWMS Data'!$AE18)</f>
        <v>600</v>
      </c>
      <c r="F16" s="13" t="str">
        <f t="array" ref="F16">IF(AND(E16=MAX(E$7:E$37), F$7:F15&lt;&gt;"+"), "+", IF(AND(E16=MIN(E$7:E$37), F$7:F15&lt;&gt;"-"), "-", ""))</f>
        <v/>
      </c>
      <c r="G16" s="34">
        <f>IF(ISBLANK('CWMS Data'!$AG18), "", 'CWMS Data'!$AG18)</f>
        <v>27600</v>
      </c>
      <c r="H16" s="14" t="str">
        <f t="array" ref="H16">IF(AND(G16=MAX(G$7:G$37), H$7:H15&lt;&gt;"+"), "+", IF(AND(G16=MIN(G$7:G$37), H$7:H15&lt;&gt;"-"), "-", ""))</f>
        <v/>
      </c>
      <c r="I16" s="63">
        <f>IF(ISBLANK('CWMS Data'!$AH18), "", 'CWMS Data'!$AH18)</f>
        <v>0</v>
      </c>
      <c r="J16" s="14" t="str">
        <f t="array" ref="J16">IF(AND(I16=MAX(I$7:I$37), J$7:J15&lt;&gt;"+"), "+", IF(AND(I16=MIN(I$7:I$37), J$7:J15&lt;&gt;"-"), "-", ""))</f>
        <v/>
      </c>
      <c r="K16" s="119">
        <f t="shared" si="0"/>
        <v>27600</v>
      </c>
      <c r="L16" s="13" t="str">
        <f t="array" ref="L16">IF(AND(K16=MAX(K$7:K$37), L$7:L15&lt;&gt;"+"), "+", IF(AND(K16=MIN(K$7:K$37), L$7:L15&lt;&gt;"-"), "-", ""))</f>
        <v/>
      </c>
      <c r="M16" s="34">
        <f>IF(ISBLANK('CWMS Data'!$AJ18), "", 'CWMS Data'!$AJ18)</f>
        <v>25000.000000000004</v>
      </c>
      <c r="N16" s="13" t="str">
        <f t="array" ref="N16">IF(AND(M16=MAX(M$7:M$37), N$7:N15&lt;&gt;"+"), "+", IF(AND(M16=MIN(M$7:M$37), N$7:N15&lt;&gt;"-"), "-", ""))</f>
        <v/>
      </c>
      <c r="O16" s="35"/>
      <c r="P16" s="124"/>
      <c r="Q16" s="35"/>
    </row>
    <row r="17" spans="1:17" ht="15" x14ac:dyDescent="0.25">
      <c r="A17" s="30">
        <f>IF(ISBLANK('CWMS Data'!$B19), "", 'CWMS Data'!$B19)</f>
        <v>44054</v>
      </c>
      <c r="B17" s="31">
        <f>IF(ISBLANK('CWMS Data'!$AM19), "", 'CWMS Data'!$AM19)</f>
        <v>1420.8</v>
      </c>
      <c r="C17" s="13" t="str">
        <f t="array" ref="C17">IF(AND(B17=MAX(B$7:B$37), C$7:C16&lt;&gt;"+"), "+", IF(AND(B17=MIN(B$7:B$37), C$7:C16&lt;&gt;"-"), "-", ""))</f>
        <v/>
      </c>
      <c r="D17" s="32">
        <f>IF(ISBLANK('CWMS Data'!$AF19), "", 'CWMS Data'!$AF19)</f>
        <v>0</v>
      </c>
      <c r="E17" s="63">
        <f>IF(ISBLANK('CWMS Data'!$AE19), "", 'CWMS Data'!$AE19)</f>
        <v>600</v>
      </c>
      <c r="F17" s="13" t="str">
        <f t="array" ref="F17">IF(AND(E17=MAX(E$7:E$37), F$7:F16&lt;&gt;"+"), "+", IF(AND(E17=MIN(E$7:E$37), F$7:F16&lt;&gt;"-"), "-", ""))</f>
        <v/>
      </c>
      <c r="G17" s="34">
        <f>IF(ISBLANK('CWMS Data'!$AG19), "", 'CWMS Data'!$AG19)</f>
        <v>27500.000000000004</v>
      </c>
      <c r="H17" s="14" t="str">
        <f t="array" ref="H17">IF(AND(G17=MAX(G$7:G$37), H$7:H16&lt;&gt;"+"), "+", IF(AND(G17=MIN(G$7:G$37), H$7:H16&lt;&gt;"-"), "-", ""))</f>
        <v/>
      </c>
      <c r="I17" s="63">
        <f>IF(ISBLANK('CWMS Data'!$AH19), "", 'CWMS Data'!$AH19)</f>
        <v>0</v>
      </c>
      <c r="J17" s="14" t="str">
        <f t="array" ref="J17">IF(AND(I17=MAX(I$7:I$37), J$7:J16&lt;&gt;"+"), "+", IF(AND(I17=MIN(I$7:I$37), J$7:J16&lt;&gt;"-"), "-", ""))</f>
        <v/>
      </c>
      <c r="K17" s="119">
        <f t="shared" si="0"/>
        <v>27500.000000000004</v>
      </c>
      <c r="L17" s="13" t="str">
        <f t="array" ref="L17">IF(AND(K17=MAX(K$7:K$37), L$7:L16&lt;&gt;"+"), "+", IF(AND(K17=MIN(K$7:K$37), L$7:L16&lt;&gt;"-"), "-", ""))</f>
        <v/>
      </c>
      <c r="M17" s="34">
        <f>IF(ISBLANK('CWMS Data'!$AJ19), "", 'CWMS Data'!$AJ19)</f>
        <v>26000</v>
      </c>
      <c r="N17" s="13" t="str">
        <f t="array" ref="N17">IF(AND(M17=MAX(M$7:M$37), N$7:N16&lt;&gt;"+"), "+", IF(AND(M17=MIN(M$7:M$37), N$7:N16&lt;&gt;"-"), "-", ""))</f>
        <v/>
      </c>
      <c r="O17" s="35"/>
      <c r="P17" s="35"/>
    </row>
    <row r="18" spans="1:17" ht="15" x14ac:dyDescent="0.25">
      <c r="A18" s="30">
        <f>IF(ISBLANK('CWMS Data'!$B20), "", 'CWMS Data'!$B20)</f>
        <v>44055</v>
      </c>
      <c r="B18" s="31">
        <f>IF(ISBLANK('CWMS Data'!$AM20), "", 'CWMS Data'!$AM20)</f>
        <v>1420.77</v>
      </c>
      <c r="C18" s="13" t="str">
        <f t="array" ref="C18">IF(AND(B18=MAX(B$7:B$37), C$7:C17&lt;&gt;"+"), "+", IF(AND(B18=MIN(B$7:B$37), C$7:C17&lt;&gt;"-"), "-", ""))</f>
        <v/>
      </c>
      <c r="D18" s="32">
        <f>IF(ISBLANK('CWMS Data'!$AF20), "", 'CWMS Data'!$AF20)</f>
        <v>0</v>
      </c>
      <c r="E18" s="63">
        <f>IF(ISBLANK('CWMS Data'!$AE20), "", 'CWMS Data'!$AE20)</f>
        <v>600</v>
      </c>
      <c r="F18" s="13" t="str">
        <f t="array" ref="F18">IF(AND(E18=MAX(E$7:E$37), F$7:F17&lt;&gt;"+"), "+", IF(AND(E18=MIN(E$7:E$37), F$7:F17&lt;&gt;"-"), "-", ""))</f>
        <v/>
      </c>
      <c r="G18" s="34">
        <f>IF(ISBLANK('CWMS Data'!$AG20), "", 'CWMS Data'!$AG20)</f>
        <v>27700.000000000004</v>
      </c>
      <c r="H18" s="14" t="str">
        <f t="array" ref="H18">IF(AND(G18=MAX(G$7:G$37), H$7:H17&lt;&gt;"+"), "+", IF(AND(G18=MIN(G$7:G$37), H$7:H17&lt;&gt;"-"), "-", ""))</f>
        <v/>
      </c>
      <c r="I18" s="63">
        <f>IF(ISBLANK('CWMS Data'!$AH20), "", 'CWMS Data'!$AH20)</f>
        <v>0</v>
      </c>
      <c r="J18" s="14" t="str">
        <f t="array" ref="J18">IF(AND(I18=MAX(I$7:I$37), J$7:J17&lt;&gt;"+"), "+", IF(AND(I18=MIN(I$7:I$37), J$7:J17&lt;&gt;"-"), "-", ""))</f>
        <v/>
      </c>
      <c r="K18" s="119">
        <f t="shared" si="0"/>
        <v>27700.000000000004</v>
      </c>
      <c r="L18" s="13" t="str">
        <f t="array" ref="L18">IF(AND(K18=MAX(K$7:K$37), L$7:L17&lt;&gt;"+"), "+", IF(AND(K18=MIN(K$7:K$37), L$7:L17&lt;&gt;"-"), "-", ""))</f>
        <v/>
      </c>
      <c r="M18" s="34">
        <f>IF(ISBLANK('CWMS Data'!$AJ20), "", 'CWMS Data'!$AJ20)</f>
        <v>26000</v>
      </c>
      <c r="N18" s="13" t="str">
        <f t="array" ref="N18">IF(AND(M18=MAX(M$7:M$37), N$7:N17&lt;&gt;"+"), "+", IF(AND(M18=MIN(M$7:M$37), N$7:N17&lt;&gt;"-"), "-", ""))</f>
        <v/>
      </c>
      <c r="O18" s="35"/>
      <c r="Q18" s="35"/>
    </row>
    <row r="19" spans="1:17" ht="15" x14ac:dyDescent="0.25">
      <c r="A19" s="30">
        <f>IF(ISBLANK('CWMS Data'!$B21), "", 'CWMS Data'!$B21)</f>
        <v>44056</v>
      </c>
      <c r="B19" s="31">
        <f>IF(ISBLANK('CWMS Data'!$AM21), "", 'CWMS Data'!$AM21)</f>
        <v>1420.67</v>
      </c>
      <c r="C19" s="13" t="str">
        <f t="array" ref="C19">IF(AND(B19=MAX(B$7:B$37), C$7:C18&lt;&gt;"+"), "+", IF(AND(B19=MIN(B$7:B$37), C$7:C18&lt;&gt;"-"), "-", ""))</f>
        <v/>
      </c>
      <c r="D19" s="32">
        <f>IF(ISBLANK('CWMS Data'!$AF21), "", 'CWMS Data'!$AF21)</f>
        <v>0</v>
      </c>
      <c r="E19" s="63">
        <f>IF(ISBLANK('CWMS Data'!$AE21), "", 'CWMS Data'!$AE21)</f>
        <v>600</v>
      </c>
      <c r="F19" s="13" t="str">
        <f t="array" ref="F19">IF(AND(E19=MAX(E$7:E$37), F$7:F18&lt;&gt;"+"), "+", IF(AND(E19=MIN(E$7:E$37), F$7:F18&lt;&gt;"-"), "-", ""))</f>
        <v/>
      </c>
      <c r="G19" s="34">
        <f>IF(ISBLANK('CWMS Data'!$AG21), "", 'CWMS Data'!$AG21)</f>
        <v>28000.000000000004</v>
      </c>
      <c r="H19" s="14" t="str">
        <f t="array" ref="H19">IF(AND(G19=MAX(G$7:G$37), H$7:H18&lt;&gt;"+"), "+", IF(AND(G19=MIN(G$7:G$37), H$7:H18&lt;&gt;"-"), "-", ""))</f>
        <v/>
      </c>
      <c r="I19" s="63">
        <f>IF(ISBLANK('CWMS Data'!$AH21), "", 'CWMS Data'!$AH21)</f>
        <v>0</v>
      </c>
      <c r="J19" s="14" t="str">
        <f t="array" ref="J19">IF(AND(I19=MAX(I$7:I$37), J$7:J18&lt;&gt;"+"), "+", IF(AND(I19=MIN(I$7:I$37), J$7:J18&lt;&gt;"-"), "-", ""))</f>
        <v/>
      </c>
      <c r="K19" s="119">
        <f t="shared" si="0"/>
        <v>28000.000000000004</v>
      </c>
      <c r="L19" s="13" t="str">
        <f t="array" ref="L19">IF(AND(K19=MAX(K$7:K$37), L$7:L18&lt;&gt;"+"), "+", IF(AND(K19=MIN(K$7:K$37), L$7:L18&lt;&gt;"-"), "-", ""))</f>
        <v/>
      </c>
      <c r="M19" s="34">
        <f>IF(ISBLANK('CWMS Data'!$AJ21), "", 'CWMS Data'!$AJ21)</f>
        <v>26000</v>
      </c>
      <c r="N19" s="13" t="str">
        <f t="array" ref="N19">IF(AND(M19=MAX(M$7:M$37), N$7:N18&lt;&gt;"+"), "+", IF(AND(M19=MIN(M$7:M$37), N$7:N18&lt;&gt;"-"), "-", ""))</f>
        <v/>
      </c>
      <c r="O19" s="35"/>
      <c r="P19" s="35"/>
      <c r="Q19" s="35"/>
    </row>
    <row r="20" spans="1:17" ht="15" x14ac:dyDescent="0.25">
      <c r="A20" s="30">
        <f>IF(ISBLANK('CWMS Data'!$B22), "", 'CWMS Data'!$B22)</f>
        <v>44057</v>
      </c>
      <c r="B20" s="31">
        <f>IF(ISBLANK('CWMS Data'!$AM22), "", 'CWMS Data'!$AM22)</f>
        <v>1420.59</v>
      </c>
      <c r="C20" s="13" t="str">
        <f t="array" ref="C20">IF(AND(B20=MAX(B$7:B$37), C$7:C19&lt;&gt;"+"), "+", IF(AND(B20=MIN(B$7:B$37), C$7:C19&lt;&gt;"-"), "-", ""))</f>
        <v/>
      </c>
      <c r="D20" s="32">
        <f>IF(ISBLANK('CWMS Data'!$AF22), "", 'CWMS Data'!$AF22)</f>
        <v>0</v>
      </c>
      <c r="E20" s="63">
        <f>IF(ISBLANK('CWMS Data'!$AE22), "", 'CWMS Data'!$AE22)</f>
        <v>600</v>
      </c>
      <c r="F20" s="13" t="str">
        <f t="array" ref="F20">IF(AND(E20=MAX(E$7:E$37), F$7:F19&lt;&gt;"+"), "+", IF(AND(E20=MIN(E$7:E$37), F$7:F19&lt;&gt;"-"), "-", ""))</f>
        <v/>
      </c>
      <c r="G20" s="34">
        <f>IF(ISBLANK('CWMS Data'!$AG22), "", 'CWMS Data'!$AG22)</f>
        <v>27900.000000000004</v>
      </c>
      <c r="H20" s="14" t="str">
        <f t="array" ref="H20">IF(AND(G20=MAX(G$7:G$37), H$7:H19&lt;&gt;"+"), "+", IF(AND(G20=MIN(G$7:G$37), H$7:H19&lt;&gt;"-"), "-", ""))</f>
        <v/>
      </c>
      <c r="I20" s="63">
        <f>IF(ISBLANK('CWMS Data'!$AH22), "", 'CWMS Data'!$AH22)</f>
        <v>0</v>
      </c>
      <c r="J20" s="14" t="str">
        <f t="array" ref="J20">IF(AND(I20=MAX(I$7:I$37), J$7:J19&lt;&gt;"+"), "+", IF(AND(I20=MIN(I$7:I$37), J$7:J19&lt;&gt;"-"), "-", ""))</f>
        <v/>
      </c>
      <c r="K20" s="119">
        <f t="shared" si="0"/>
        <v>27900.000000000004</v>
      </c>
      <c r="L20" s="13" t="str">
        <f t="array" ref="L20">IF(AND(K20=MAX(K$7:K$37), L$7:L19&lt;&gt;"+"), "+", IF(AND(K20=MIN(K$7:K$37), L$7:L19&lt;&gt;"-"), "-", ""))</f>
        <v/>
      </c>
      <c r="M20" s="34">
        <f>IF(ISBLANK('CWMS Data'!$AJ22), "", 'CWMS Data'!$AJ22)</f>
        <v>25000.000000000004</v>
      </c>
      <c r="N20" s="13" t="str">
        <f t="array" ref="N20">IF(AND(M20=MAX(M$7:M$37), N$7:N19&lt;&gt;"+"), "+", IF(AND(M20=MIN(M$7:M$37), N$7:N19&lt;&gt;"-"), "-", ""))</f>
        <v/>
      </c>
      <c r="O20" s="35"/>
      <c r="P20" s="35"/>
      <c r="Q20" s="35"/>
    </row>
    <row r="21" spans="1:17" ht="15" x14ac:dyDescent="0.25">
      <c r="A21" s="36">
        <f>IF(ISBLANK('CWMS Data'!$B23), "", 'CWMS Data'!$B23)</f>
        <v>44058</v>
      </c>
      <c r="B21" s="31">
        <f>IF(ISBLANK('CWMS Data'!$AM23), "", 'CWMS Data'!$AM23)</f>
        <v>1420.73</v>
      </c>
      <c r="C21" s="13" t="str">
        <f t="array" ref="C21">IF(AND(B21=MAX(B$7:B$37), C$7:C20&lt;&gt;"+"), "+", IF(AND(B21=MIN(B$7:B$37), C$7:C20&lt;&gt;"-"), "-", ""))</f>
        <v/>
      </c>
      <c r="D21" s="32">
        <f>IF(ISBLANK('CWMS Data'!$AF23), "", 'CWMS Data'!$AF23)</f>
        <v>0</v>
      </c>
      <c r="E21" s="63">
        <f>IF(ISBLANK('CWMS Data'!$AE23), "", 'CWMS Data'!$AE23)</f>
        <v>600</v>
      </c>
      <c r="F21" s="13" t="str">
        <f t="array" ref="F21">IF(AND(E21=MAX(E$7:E$37), F$7:F20&lt;&gt;"+"), "+", IF(AND(E21=MIN(E$7:E$37), F$7:F20&lt;&gt;"-"), "-", ""))</f>
        <v/>
      </c>
      <c r="G21" s="34">
        <f>IF(ISBLANK('CWMS Data'!$AG23), "", 'CWMS Data'!$AG23)</f>
        <v>16300</v>
      </c>
      <c r="H21" s="14" t="str">
        <f t="array" ref="H21">IF(AND(G21=MAX(G$7:G$37), H$7:H20&lt;&gt;"+"), "+", IF(AND(G21=MIN(G$7:G$37), H$7:H20&lt;&gt;"-"), "-", ""))</f>
        <v/>
      </c>
      <c r="I21" s="63">
        <f>IF(ISBLANK('CWMS Data'!$AH23), "", 'CWMS Data'!$AH23)</f>
        <v>0</v>
      </c>
      <c r="J21" s="14" t="str">
        <f t="array" ref="J21">IF(AND(I21=MAX(I$7:I$37), J$7:J20&lt;&gt;"+"), "+", IF(AND(I21=MIN(I$7:I$37), J$7:J20&lt;&gt;"-"), "-", ""))</f>
        <v/>
      </c>
      <c r="K21" s="119">
        <f t="shared" si="0"/>
        <v>16300</v>
      </c>
      <c r="L21" s="13" t="str">
        <f t="array" ref="L21">IF(AND(K21=MAX(K$7:K$37), L$7:L20&lt;&gt;"+"), "+", IF(AND(K21=MIN(K$7:K$37), L$7:L20&lt;&gt;"-"), "-", ""))</f>
        <v/>
      </c>
      <c r="M21" s="34">
        <f>IF(ISBLANK('CWMS Data'!$AJ23), "", 'CWMS Data'!$AJ23)</f>
        <v>19000</v>
      </c>
      <c r="N21" s="13" t="str">
        <f t="array" ref="N21">IF(AND(M21=MAX(M$7:M$37), N$7:N20&lt;&gt;"+"), "+", IF(AND(M21=MIN(M$7:M$37), N$7:N20&lt;&gt;"-"), "-", ""))</f>
        <v>-</v>
      </c>
      <c r="O21" s="35"/>
      <c r="P21" s="35"/>
      <c r="Q21" s="35"/>
    </row>
    <row r="22" spans="1:17" ht="15" x14ac:dyDescent="0.25">
      <c r="A22" s="30">
        <f>IF(ISBLANK('CWMS Data'!$B24), "", 'CWMS Data'!$B24)</f>
        <v>44059</v>
      </c>
      <c r="B22" s="31">
        <f>IF(ISBLANK('CWMS Data'!$AM24), "", 'CWMS Data'!$AM24)</f>
        <v>1420.94</v>
      </c>
      <c r="C22" s="13" t="str">
        <f t="array" ref="C22">IF(AND(B22=MAX(B$7:B$37), C$7:C21&lt;&gt;"+"), "+", IF(AND(B22=MIN(B$7:B$37), C$7:C21&lt;&gt;"-"), "-", ""))</f>
        <v/>
      </c>
      <c r="D22" s="32">
        <f>IF(ISBLANK('CWMS Data'!$AF24), "", 'CWMS Data'!$AF24)</f>
        <v>0</v>
      </c>
      <c r="E22" s="133">
        <f>IF(ISBLANK('CWMS Data'!$AE24), "", 'CWMS Data'!$AE24)</f>
        <v>600</v>
      </c>
      <c r="F22" s="13" t="str">
        <f t="array" ref="F22">IF(AND(E22=MAX(E$7:E$37), F$7:F21&lt;&gt;"+"), "+", IF(AND(E22=MIN(E$7:E$37), F$7:F21&lt;&gt;"-"), "-", ""))</f>
        <v/>
      </c>
      <c r="G22" s="34">
        <f>IF(ISBLANK('CWMS Data'!$AG24), "", 'CWMS Data'!$AG24)</f>
        <v>14200.000000000002</v>
      </c>
      <c r="H22" s="14" t="str">
        <f t="array" ref="H22">IF(AND(G22=MAX(G$7:G$37), H$7:H21&lt;&gt;"+"), "+", IF(AND(G22=MIN(G$7:G$37), H$7:H21&lt;&gt;"-"), "-", ""))</f>
        <v/>
      </c>
      <c r="I22" s="63">
        <f>IF(ISBLANK('CWMS Data'!$AH24), "", 'CWMS Data'!$AH24)</f>
        <v>0</v>
      </c>
      <c r="J22" s="14" t="str">
        <f t="array" ref="J22">IF(AND(I22=MAX(I$7:I$37), J$7:J21&lt;&gt;"+"), "+", IF(AND(I22=MIN(I$7:I$37), J$7:J21&lt;&gt;"-"), "-", ""))</f>
        <v/>
      </c>
      <c r="K22" s="119">
        <f t="shared" si="0"/>
        <v>14200.000000000002</v>
      </c>
      <c r="L22" s="13" t="str">
        <f t="array" ref="L22">IF(AND(K22=MAX(K$7:K$37), L$7:L21&lt;&gt;"+"), "+", IF(AND(K22=MIN(K$7:K$37), L$7:L21&lt;&gt;"-"), "-", ""))</f>
        <v/>
      </c>
      <c r="M22" s="34">
        <f>IF(ISBLANK('CWMS Data'!$AJ24), "", 'CWMS Data'!$AJ24)</f>
        <v>21000</v>
      </c>
      <c r="N22" s="13" t="str">
        <f t="array" ref="N22">IF(AND(M22=MAX(M$7:M$37), N$7:N21&lt;&gt;"+"), "+", IF(AND(M22=MIN(M$7:M$37), N$7:N21&lt;&gt;"-"), "-", ""))</f>
        <v/>
      </c>
      <c r="O22" s="35"/>
      <c r="P22" s="35"/>
      <c r="Q22" s="35"/>
    </row>
    <row r="23" spans="1:17" ht="15" x14ac:dyDescent="0.25">
      <c r="A23" s="30">
        <f>IF(ISBLANK('CWMS Data'!$B25), "", 'CWMS Data'!$B25)</f>
        <v>44060</v>
      </c>
      <c r="B23" s="31">
        <f>IF(ISBLANK('CWMS Data'!$AM25), "", 'CWMS Data'!$AM25)</f>
        <v>1420.7</v>
      </c>
      <c r="C23" s="13" t="str">
        <f t="array" ref="C23">IF(AND(B23=MAX(B$7:B$37), C$7:C22&lt;&gt;"+"), "+", IF(AND(B23=MIN(B$7:B$37), C$7:C22&lt;&gt;"-"), "-", ""))</f>
        <v/>
      </c>
      <c r="D23" s="32">
        <f>IF(ISBLANK('CWMS Data'!$AF25), "", 'CWMS Data'!$AF25)</f>
        <v>0</v>
      </c>
      <c r="E23" s="133">
        <f>IF(ISBLANK('CWMS Data'!$AE25), "", 'CWMS Data'!$AE25)</f>
        <v>600</v>
      </c>
      <c r="F23" s="13" t="str">
        <f t="array" ref="F23">IF(AND(E23=MAX(E$7:E$37), F$7:F22&lt;&gt;"+"), "+", IF(AND(E23=MIN(E$7:E$37), F$7:F22&lt;&gt;"-"), "-", ""))</f>
        <v/>
      </c>
      <c r="G23" s="34">
        <f>IF(ISBLANK('CWMS Data'!$AG25), "", 'CWMS Data'!$AG25)</f>
        <v>28100.000000000004</v>
      </c>
      <c r="H23" s="14" t="str">
        <f t="array" ref="H23">IF(AND(G23=MAX(G$7:G$37), H$7:H22&lt;&gt;"+"), "+", IF(AND(G23=MIN(G$7:G$37), H$7:H22&lt;&gt;"-"), "-", ""))</f>
        <v/>
      </c>
      <c r="I23" s="63">
        <f>IF(ISBLANK('CWMS Data'!$AH25), "", 'CWMS Data'!$AH25)</f>
        <v>0</v>
      </c>
      <c r="J23" s="14" t="str">
        <f t="array" ref="J23">IF(AND(I23=MAX(I$7:I$37), J$7:J22&lt;&gt;"+"), "+", IF(AND(I23=MIN(I$7:I$37), J$7:J22&lt;&gt;"-"), "-", ""))</f>
        <v/>
      </c>
      <c r="K23" s="119">
        <f t="shared" si="0"/>
        <v>28100.000000000004</v>
      </c>
      <c r="L23" s="13" t="str">
        <f t="array" ref="L23">IF(AND(K23=MAX(K$7:K$37), L$7:L22&lt;&gt;"+"), "+", IF(AND(K23=MIN(K$7:K$37), L$7:L22&lt;&gt;"-"), "-", ""))</f>
        <v/>
      </c>
      <c r="M23" s="34">
        <f>IF(ISBLANK('CWMS Data'!$AJ25), "", 'CWMS Data'!$AJ25)</f>
        <v>23000.000000000004</v>
      </c>
      <c r="N23" s="13" t="str">
        <f t="array" ref="N23">IF(AND(M23=MAX(M$7:M$37), N$7:N22&lt;&gt;"+"), "+", IF(AND(M23=MIN(M$7:M$37), N$7:N22&lt;&gt;"-"), "-", ""))</f>
        <v/>
      </c>
      <c r="O23" s="35"/>
      <c r="P23" s="35"/>
      <c r="Q23" s="35"/>
    </row>
    <row r="24" spans="1:17" ht="15" x14ac:dyDescent="0.25">
      <c r="A24" s="30">
        <f>IF(ISBLANK('CWMS Data'!$B26), "", 'CWMS Data'!$B26)</f>
        <v>44061</v>
      </c>
      <c r="B24" s="31">
        <f>IF(ISBLANK('CWMS Data'!$AM26), "", 'CWMS Data'!$AM26)</f>
        <v>1420.62</v>
      </c>
      <c r="C24" s="13" t="str">
        <f t="array" ref="C24">IF(AND(B24=MAX(B$7:B$37), C$7:C23&lt;&gt;"+"), "+", IF(AND(B24=MIN(B$7:B$37), C$7:C23&lt;&gt;"-"), "-", ""))</f>
        <v/>
      </c>
      <c r="D24" s="32">
        <f>IF(ISBLANK('CWMS Data'!$AF26), "", 'CWMS Data'!$AF26)</f>
        <v>0</v>
      </c>
      <c r="E24" s="133">
        <f>IF(ISBLANK('CWMS Data'!$AE26), "", 'CWMS Data'!$AE26)</f>
        <v>600</v>
      </c>
      <c r="F24" s="13" t="str">
        <f t="array" ref="F24">IF(AND(E24=MAX(E$7:E$37), F$7:F23&lt;&gt;"+"), "+", IF(AND(E24=MIN(E$7:E$37), F$7:F23&lt;&gt;"-"), "-", ""))</f>
        <v/>
      </c>
      <c r="G24" s="34">
        <f>IF(ISBLANK('CWMS Data'!$AG26), "", 'CWMS Data'!$AG26)</f>
        <v>27800</v>
      </c>
      <c r="H24" s="14" t="str">
        <f t="array" ref="H24">IF(AND(G24=MAX(G$7:G$37), H$7:H23&lt;&gt;"+"), "+", IF(AND(G24=MIN(G$7:G$37), H$7:H23&lt;&gt;"-"), "-", ""))</f>
        <v/>
      </c>
      <c r="I24" s="63">
        <f>IF(ISBLANK('CWMS Data'!$AH26), "", 'CWMS Data'!$AH26)</f>
        <v>0</v>
      </c>
      <c r="J24" s="14" t="str">
        <f t="array" ref="J24">IF(AND(I24=MAX(I$7:I$37), J$7:J23&lt;&gt;"+"), "+", IF(AND(I24=MIN(I$7:I$37), J$7:J23&lt;&gt;"-"), "-", ""))</f>
        <v/>
      </c>
      <c r="K24" s="119">
        <f t="shared" si="0"/>
        <v>27800</v>
      </c>
      <c r="L24" s="13" t="str">
        <f t="array" ref="L24">IF(AND(K24=MAX(K$7:K$37), L$7:L23&lt;&gt;"+"), "+", IF(AND(K24=MIN(K$7:K$37), L$7:L23&lt;&gt;"-"), "-", ""))</f>
        <v/>
      </c>
      <c r="M24" s="34">
        <f>IF(ISBLANK('CWMS Data'!$AJ26), "", 'CWMS Data'!$AJ26)</f>
        <v>26000</v>
      </c>
      <c r="N24" s="13" t="str">
        <f t="array" ref="N24">IF(AND(M24=MAX(M$7:M$37), N$7:N23&lt;&gt;"+"), "+", IF(AND(M24=MIN(M$7:M$37), N$7:N23&lt;&gt;"-"), "-", ""))</f>
        <v/>
      </c>
      <c r="O24" s="35"/>
      <c r="P24" s="35"/>
      <c r="Q24" s="35"/>
    </row>
    <row r="25" spans="1:17" ht="15" x14ac:dyDescent="0.25">
      <c r="A25" s="30">
        <f>IF(ISBLANK('CWMS Data'!$B27), "", 'CWMS Data'!$B27)</f>
        <v>44062</v>
      </c>
      <c r="B25" s="31">
        <f>IF(ISBLANK('CWMS Data'!$AM27), "", 'CWMS Data'!$AM27)</f>
        <v>1420.5499999999997</v>
      </c>
      <c r="C25" s="13" t="str">
        <f t="array" ref="C25">IF(AND(B25=MAX(B$7:B$37), C$7:C24&lt;&gt;"+"), "+", IF(AND(B25=MIN(B$7:B$37), C$7:C24&lt;&gt;"-"), "-", ""))</f>
        <v/>
      </c>
      <c r="D25" s="32">
        <f>IF(ISBLANK('CWMS Data'!$AF27), "", 'CWMS Data'!$AF27)</f>
        <v>0</v>
      </c>
      <c r="E25" s="133">
        <f>IF(ISBLANK('CWMS Data'!$AE27), "", 'CWMS Data'!$AE27)</f>
        <v>600</v>
      </c>
      <c r="F25" s="13" t="str">
        <f t="array" ref="F25">IF(AND(E25=MAX(E$7:E$37), F$7:F24&lt;&gt;"+"), "+", IF(AND(E25=MIN(E$7:E$37), F$7:F24&lt;&gt;"-"), "-", ""))</f>
        <v/>
      </c>
      <c r="G25" s="34">
        <f>IF(ISBLANK('CWMS Data'!$AG27), "", 'CWMS Data'!$AG27)</f>
        <v>28100.000000000004</v>
      </c>
      <c r="H25" s="14" t="str">
        <f t="array" ref="H25">IF(AND(G25=MAX(G$7:G$37), H$7:H24&lt;&gt;"+"), "+", IF(AND(G25=MIN(G$7:G$37), H$7:H24&lt;&gt;"-"), "-", ""))</f>
        <v/>
      </c>
      <c r="I25" s="63">
        <f>IF(ISBLANK('CWMS Data'!$AH27), "", 'CWMS Data'!$AH27)</f>
        <v>0</v>
      </c>
      <c r="J25" s="14" t="str">
        <f t="array" ref="J25">IF(AND(I25=MAX(I$7:I$37), J$7:J24&lt;&gt;"+"), "+", IF(AND(I25=MIN(I$7:I$37), J$7:J24&lt;&gt;"-"), "-", ""))</f>
        <v/>
      </c>
      <c r="K25" s="119">
        <f t="shared" si="0"/>
        <v>28100.000000000004</v>
      </c>
      <c r="L25" s="13" t="str">
        <f t="array" ref="L25">IF(AND(K25=MAX(K$7:K$37), L$7:L24&lt;&gt;"+"), "+", IF(AND(K25=MIN(K$7:K$37), L$7:L24&lt;&gt;"-"), "-", ""))</f>
        <v/>
      </c>
      <c r="M25" s="34">
        <f>IF(ISBLANK('CWMS Data'!$AJ27), "", 'CWMS Data'!$AJ27)</f>
        <v>26000</v>
      </c>
      <c r="N25" s="13" t="str">
        <f t="array" ref="N25">IF(AND(M25=MAX(M$7:M$37), N$7:N24&lt;&gt;"+"), "+", IF(AND(M25=MIN(M$7:M$37), N$7:N24&lt;&gt;"-"), "-", ""))</f>
        <v/>
      </c>
      <c r="O25" s="35"/>
      <c r="P25" s="35"/>
      <c r="Q25" s="35"/>
    </row>
    <row r="26" spans="1:17" ht="15" x14ac:dyDescent="0.25">
      <c r="A26" s="36">
        <f>IF(ISBLANK('CWMS Data'!$B28), "", 'CWMS Data'!$B28)</f>
        <v>44063</v>
      </c>
      <c r="B26" s="31">
        <f>IF(ISBLANK('CWMS Data'!$AM28), "", 'CWMS Data'!$AM28)</f>
        <v>1420.44</v>
      </c>
      <c r="C26" s="13" t="str">
        <f t="array" ref="C26">IF(AND(B26=MAX(B$7:B$37), C$7:C25&lt;&gt;"+"), "+", IF(AND(B26=MIN(B$7:B$37), C$7:C25&lt;&gt;"-"), "-", ""))</f>
        <v/>
      </c>
      <c r="D26" s="32">
        <f>IF(ISBLANK('CWMS Data'!$AF28), "", 'CWMS Data'!$AF28)</f>
        <v>0</v>
      </c>
      <c r="E26" s="133">
        <f>IF(ISBLANK('CWMS Data'!$AE28), "", 'CWMS Data'!$AE28)</f>
        <v>600</v>
      </c>
      <c r="F26" s="13" t="str">
        <f t="array" ref="F26">IF(AND(E26=MAX(E$7:E$37), F$7:F25&lt;&gt;"+"), "+", IF(AND(E26=MIN(E$7:E$37), F$7:F25&lt;&gt;"-"), "-", ""))</f>
        <v/>
      </c>
      <c r="G26" s="34">
        <f>IF(ISBLANK('CWMS Data'!$AG28), "", 'CWMS Data'!$AG28)</f>
        <v>27500.000000000004</v>
      </c>
      <c r="H26" s="14" t="str">
        <f t="array" ref="H26">IF(AND(G26=MAX(G$7:G$37), H$7:H25&lt;&gt;"+"), "+", IF(AND(G26=MIN(G$7:G$37), H$7:H25&lt;&gt;"-"), "-", ""))</f>
        <v/>
      </c>
      <c r="I26" s="63">
        <f>IF(ISBLANK('CWMS Data'!$AH28), "", 'CWMS Data'!$AH28)</f>
        <v>0</v>
      </c>
      <c r="J26" s="14" t="str">
        <f t="array" ref="J26">IF(AND(I26=MAX(I$7:I$37), J$7:J25&lt;&gt;"+"), "+", IF(AND(I26=MIN(I$7:I$37), J$7:J25&lt;&gt;"-"), "-", ""))</f>
        <v/>
      </c>
      <c r="K26" s="119">
        <f t="shared" si="0"/>
        <v>27500.000000000004</v>
      </c>
      <c r="L26" s="13" t="str">
        <f t="array" ref="L26">IF(AND(K26=MAX(K$7:K$37), L$7:L25&lt;&gt;"+"), "+", IF(AND(K26=MIN(K$7:K$37), L$7:L25&lt;&gt;"-"), "-", ""))</f>
        <v/>
      </c>
      <c r="M26" s="34">
        <f>IF(ISBLANK('CWMS Data'!$AJ28), "", 'CWMS Data'!$AJ28)</f>
        <v>25000.000000000004</v>
      </c>
      <c r="N26" s="13" t="str">
        <f t="array" ref="N26">IF(AND(M26=MAX(M$7:M$37), N$7:N25&lt;&gt;"+"), "+", IF(AND(M26=MIN(M$7:M$37), N$7:N25&lt;&gt;"-"), "-", ""))</f>
        <v/>
      </c>
      <c r="O26" s="35"/>
      <c r="P26" s="35"/>
      <c r="Q26" s="35"/>
    </row>
    <row r="27" spans="1:17" ht="15" x14ac:dyDescent="0.25">
      <c r="A27" s="30">
        <f>IF(ISBLANK('CWMS Data'!$B29), "", 'CWMS Data'!$B29)</f>
        <v>44064</v>
      </c>
      <c r="B27" s="31">
        <f>IF(ISBLANK('CWMS Data'!$AM29), "", 'CWMS Data'!$AM29)</f>
        <v>1420.38</v>
      </c>
      <c r="C27" s="13" t="str">
        <f t="array" ref="C27">IF(AND(B27=MAX(B$7:B$37), C$7:C26&lt;&gt;"+"), "+", IF(AND(B27=MIN(B$7:B$37), C$7:C26&lt;&gt;"-"), "-", ""))</f>
        <v/>
      </c>
      <c r="D27" s="32">
        <f>IF(ISBLANK('CWMS Data'!$AF29), "", 'CWMS Data'!$AF29)</f>
        <v>0</v>
      </c>
      <c r="E27" s="145">
        <f>IF(ISBLANK('CWMS Data'!$AE29), "", 'CWMS Data'!$AE29)</f>
        <v>600</v>
      </c>
      <c r="F27" s="13" t="str">
        <f t="array" ref="F27">IF(AND(E27=MAX(E$7:E$37), F$7:F26&lt;&gt;"+"), "+", IF(AND(E27=MIN(E$7:E$37), F$7:F26&lt;&gt;"-"), "-", ""))</f>
        <v/>
      </c>
      <c r="G27" s="34">
        <f>IF(ISBLANK('CWMS Data'!$AG29), "", 'CWMS Data'!$AG29)</f>
        <v>28100.000000000004</v>
      </c>
      <c r="H27" s="14" t="str">
        <f t="array" ref="H27">IF(AND(G27=MAX(G$7:G$37), H$7:H26&lt;&gt;"+"), "+", IF(AND(G27=MIN(G$7:G$37), H$7:H26&lt;&gt;"-"), "-", ""))</f>
        <v/>
      </c>
      <c r="I27" s="63">
        <f>IF(ISBLANK('CWMS Data'!$AH29), "", 'CWMS Data'!$AH29)</f>
        <v>0</v>
      </c>
      <c r="J27" s="14" t="str">
        <f t="array" ref="J27">IF(AND(I27=MAX(I$7:I$37), J$7:J26&lt;&gt;"+"), "+", IF(AND(I27=MIN(I$7:I$37), J$7:J26&lt;&gt;"-"), "-", ""))</f>
        <v/>
      </c>
      <c r="K27" s="119">
        <f t="shared" si="0"/>
        <v>28100.000000000004</v>
      </c>
      <c r="L27" s="13" t="str">
        <f t="array" ref="L27">IF(AND(K27=MAX(K$7:K$37), L$7:L26&lt;&gt;"+"), "+", IF(AND(K27=MIN(K$7:K$37), L$7:L26&lt;&gt;"-"), "-", ""))</f>
        <v/>
      </c>
      <c r="M27" s="34">
        <f>IF(ISBLANK('CWMS Data'!$AJ29), "", 'CWMS Data'!$AJ29)</f>
        <v>25000.000000000004</v>
      </c>
      <c r="N27" s="13" t="str">
        <f t="array" ref="N27">IF(AND(M27=MAX(M$7:M$37), N$7:N26&lt;&gt;"+"), "+", IF(AND(M27=MIN(M$7:M$37), N$7:N26&lt;&gt;"-"), "-", ""))</f>
        <v/>
      </c>
      <c r="O27" s="35"/>
      <c r="P27" s="35"/>
      <c r="Q27" s="35"/>
    </row>
    <row r="28" spans="1:17" ht="15" x14ac:dyDescent="0.25">
      <c r="A28" s="30">
        <f>IF(ISBLANK('CWMS Data'!$B30), "", 'CWMS Data'!$B30)</f>
        <v>44065</v>
      </c>
      <c r="B28" s="31">
        <f>IF(ISBLANK('CWMS Data'!$AM30), "", 'CWMS Data'!$AM30)</f>
        <v>1420.6899999999998</v>
      </c>
      <c r="C28" s="13" t="str">
        <f t="array" ref="C28">IF(AND(B28=MAX(B$7:B$37), C$7:C27&lt;&gt;"+"), "+", IF(AND(B28=MIN(B$7:B$37), C$7:C27&lt;&gt;"-"), "-", ""))</f>
        <v/>
      </c>
      <c r="D28" s="32">
        <f>IF(ISBLANK('CWMS Data'!$AF30), "", 'CWMS Data'!$AF30)</f>
        <v>0</v>
      </c>
      <c r="E28" s="145">
        <f>IF(ISBLANK('CWMS Data'!$AE30), "", 'CWMS Data'!$AE30)</f>
        <v>600</v>
      </c>
      <c r="F28" s="13" t="str">
        <f t="array" ref="F28">IF(AND(E28=MAX(E$7:E$37), F$7:F27&lt;&gt;"+"), "+", IF(AND(E28=MIN(E$7:E$37), F$7:F27&lt;&gt;"-"), "-", ""))</f>
        <v/>
      </c>
      <c r="G28" s="34">
        <f>IF(ISBLANK('CWMS Data'!$AG30), "", 'CWMS Data'!$AG30)</f>
        <v>13500.000000000002</v>
      </c>
      <c r="H28" s="14" t="str">
        <f t="array" ref="H28">IF(AND(G28=MAX(G$7:G$37), H$7:H27&lt;&gt;"+"), "+", IF(AND(G28=MIN(G$7:G$37), H$7:H27&lt;&gt;"-"), "-", ""))</f>
        <v/>
      </c>
      <c r="I28" s="63">
        <f>IF(ISBLANK('CWMS Data'!$AH30), "", 'CWMS Data'!$AH30)</f>
        <v>0</v>
      </c>
      <c r="J28" s="14" t="str">
        <f t="array" ref="J28">IF(AND(I28=MAX(I$7:I$37), J$7:J27&lt;&gt;"+"), "+", IF(AND(I28=MIN(I$7:I$37), J$7:J27&lt;&gt;"-"), "-", ""))</f>
        <v/>
      </c>
      <c r="K28" s="119">
        <f t="shared" si="0"/>
        <v>13500.000000000002</v>
      </c>
      <c r="L28" s="13" t="str">
        <f t="array" ref="L28">IF(AND(K28=MAX(K$7:K$37), L$7:L27&lt;&gt;"+"), "+", IF(AND(K28=MIN(K$7:K$37), L$7:L27&lt;&gt;"-"), "-", ""))</f>
        <v/>
      </c>
      <c r="M28" s="34">
        <f>IF(ISBLANK('CWMS Data'!$AJ30), "", 'CWMS Data'!$AJ30)</f>
        <v>24000</v>
      </c>
      <c r="N28" s="13" t="str">
        <f t="array" ref="N28">IF(AND(M28=MAX(M$7:M$37), N$7:N27&lt;&gt;"+"), "+", IF(AND(M28=MIN(M$7:M$37), N$7:N27&lt;&gt;"-"), "-", ""))</f>
        <v/>
      </c>
      <c r="O28" s="35"/>
      <c r="P28" s="35"/>
      <c r="Q28" s="35"/>
    </row>
    <row r="29" spans="1:17" ht="15" x14ac:dyDescent="0.25">
      <c r="A29" s="30">
        <f>IF(ISBLANK('CWMS Data'!$B31), "", 'CWMS Data'!$B31)</f>
        <v>44066</v>
      </c>
      <c r="B29" s="31">
        <f>IF(ISBLANK('CWMS Data'!$AM31), "", 'CWMS Data'!$AM31)</f>
        <v>1420.9499999999998</v>
      </c>
      <c r="C29" s="13" t="str">
        <f t="array" ref="C29">IF(AND(B29=MAX(B$7:B$37), C$7:C28&lt;&gt;"+"), "+", IF(AND(B29=MIN(B$7:B$37), C$7:C28&lt;&gt;"-"), "-", ""))</f>
        <v/>
      </c>
      <c r="D29" s="32">
        <f>IF(ISBLANK('CWMS Data'!$AF31), "", 'CWMS Data'!$AF31)</f>
        <v>0</v>
      </c>
      <c r="E29" s="145">
        <f>IF(ISBLANK('CWMS Data'!$AE31), "", 'CWMS Data'!$AE31)</f>
        <v>600</v>
      </c>
      <c r="F29" s="13" t="str">
        <f t="array" ref="F29">IF(AND(E29=MAX(E$7:E$37), F$7:F28&lt;&gt;"+"), "+", IF(AND(E29=MIN(E$7:E$37), F$7:F28&lt;&gt;"-"), "-", ""))</f>
        <v/>
      </c>
      <c r="G29" s="34">
        <f>IF(ISBLANK('CWMS Data'!$AG31), "", 'CWMS Data'!$AG31)</f>
        <v>11400</v>
      </c>
      <c r="H29" s="14" t="str">
        <f t="array" ref="H29">IF(AND(G29=MAX(G$7:G$37), H$7:H28&lt;&gt;"+"), "+", IF(AND(G29=MIN(G$7:G$37), H$7:H28&lt;&gt;"-"), "-", ""))</f>
        <v>-</v>
      </c>
      <c r="I29" s="63">
        <f>IF(ISBLANK('CWMS Data'!$AH31), "", 'CWMS Data'!$AH31)</f>
        <v>0</v>
      </c>
      <c r="J29" s="14" t="str">
        <f t="array" ref="J29">IF(AND(I29=MAX(I$7:I$37), J$7:J28&lt;&gt;"+"), "+", IF(AND(I29=MIN(I$7:I$37), J$7:J28&lt;&gt;"-"), "-", ""))</f>
        <v/>
      </c>
      <c r="K29" s="119">
        <f t="shared" si="0"/>
        <v>11400</v>
      </c>
      <c r="L29" s="13" t="str">
        <f t="array" ref="L29">IF(AND(K29=MAX(K$7:K$37), L$7:L28&lt;&gt;"+"), "+", IF(AND(K29=MIN(K$7:K$37), L$7:L28&lt;&gt;"-"), "-", ""))</f>
        <v>-</v>
      </c>
      <c r="M29" s="34">
        <f>IF(ISBLANK('CWMS Data'!$AJ31), "", 'CWMS Data'!$AJ31)</f>
        <v>21000</v>
      </c>
      <c r="N29" s="13" t="str">
        <f t="array" ref="N29">IF(AND(M29=MAX(M$7:M$37), N$7:N28&lt;&gt;"+"), "+", IF(AND(M29=MIN(M$7:M$37), N$7:N28&lt;&gt;"-"), "-", ""))</f>
        <v/>
      </c>
      <c r="O29" s="35"/>
      <c r="P29" s="35"/>
      <c r="Q29" s="35"/>
    </row>
    <row r="30" spans="1:17" ht="15" x14ac:dyDescent="0.25">
      <c r="A30" s="30">
        <f>IF(ISBLANK('CWMS Data'!$B32), "", 'CWMS Data'!$B32)</f>
        <v>44067</v>
      </c>
      <c r="B30" s="31">
        <f>IF(ISBLANK('CWMS Data'!$AM32), "", 'CWMS Data'!$AM32)</f>
        <v>1420.91</v>
      </c>
      <c r="C30" s="13" t="str">
        <f t="array" ref="C30">IF(AND(B30=MAX(B$7:B$37), C$7:C29&lt;&gt;"+"), "+", IF(AND(B30=MIN(B$7:B$37), C$7:C29&lt;&gt;"-"), "-", ""))</f>
        <v/>
      </c>
      <c r="D30" s="32">
        <f>IF(ISBLANK('CWMS Data'!$AF32), "", 'CWMS Data'!$AF32)</f>
        <v>0</v>
      </c>
      <c r="E30" s="143">
        <f>IF(ISBLANK('CWMS Data'!$AE32), "", 'CWMS Data'!$AE32)</f>
        <v>600</v>
      </c>
      <c r="F30" s="13" t="str">
        <f t="array" ref="F30">IF(AND(E30=MAX(E$7:E$37), F$7:F29&lt;&gt;"+"), "+", IF(AND(E30=MIN(E$7:E$37), F$7:F29&lt;&gt;"-"), "-", ""))</f>
        <v/>
      </c>
      <c r="G30" s="34">
        <f>IF(ISBLANK('CWMS Data'!$AG32), "", 'CWMS Data'!$AG32)</f>
        <v>27200.000000000004</v>
      </c>
      <c r="H30" s="14" t="str">
        <f t="array" ref="H30">IF(AND(G30=MAX(G$7:G$37), H$7:H29&lt;&gt;"+"), "+", IF(AND(G30=MIN(G$7:G$37), H$7:H29&lt;&gt;"-"), "-", ""))</f>
        <v/>
      </c>
      <c r="I30" s="63">
        <f>IF(ISBLANK('CWMS Data'!$AH32), "", 'CWMS Data'!$AH32)</f>
        <v>0</v>
      </c>
      <c r="J30" s="14" t="str">
        <f t="array" ref="J30">IF(AND(I30=MAX(I$7:I$37), J$7:J29&lt;&gt;"+"), "+", IF(AND(I30=MIN(I$7:I$37), J$7:J29&lt;&gt;"-"), "-", ""))</f>
        <v/>
      </c>
      <c r="K30" s="119">
        <f t="shared" si="0"/>
        <v>27200.000000000004</v>
      </c>
      <c r="L30" s="13" t="str">
        <f t="array" ref="L30">IF(AND(K30=MAX(K$7:K$37), L$7:L29&lt;&gt;"+"), "+", IF(AND(K30=MIN(K$7:K$37), L$7:L29&lt;&gt;"-"), "-", ""))</f>
        <v/>
      </c>
      <c r="M30" s="34">
        <f>IF(ISBLANK('CWMS Data'!$AJ32), "", 'CWMS Data'!$AJ32)</f>
        <v>24000</v>
      </c>
      <c r="N30" s="13" t="str">
        <f t="array" ref="N30">IF(AND(M30=MAX(M$7:M$37), N$7:N29&lt;&gt;"+"), "+", IF(AND(M30=MIN(M$7:M$37), N$7:N29&lt;&gt;"-"), "-", ""))</f>
        <v/>
      </c>
      <c r="O30" s="35"/>
      <c r="P30" s="35"/>
      <c r="Q30" s="35"/>
    </row>
    <row r="31" spans="1:17" ht="15" x14ac:dyDescent="0.25">
      <c r="A31" s="36">
        <f>IF(ISBLANK('CWMS Data'!$B33), "", 'CWMS Data'!$B33)</f>
        <v>44068</v>
      </c>
      <c r="B31" s="31">
        <f>IF(ISBLANK('CWMS Data'!$AM33), "", 'CWMS Data'!$AM33)</f>
        <v>1420.79</v>
      </c>
      <c r="C31" s="13" t="str">
        <f t="array" ref="C31">IF(AND(B31=MAX(B$7:B$37), C$7:C30&lt;&gt;"+"), "+", IF(AND(B31=MIN(B$7:B$37), C$7:C30&lt;&gt;"-"), "-", ""))</f>
        <v/>
      </c>
      <c r="D31" s="32">
        <f>IF(ISBLANK('CWMS Data'!$AF33), "", 'CWMS Data'!$AF33)</f>
        <v>0</v>
      </c>
      <c r="E31" s="143">
        <f>IF(ISBLANK('CWMS Data'!$AE33), "", 'CWMS Data'!$AE33)</f>
        <v>600</v>
      </c>
      <c r="F31" s="13" t="str">
        <f t="array" ref="F31">IF(AND(E31=MAX(E$7:E$37), F$7:F30&lt;&gt;"+"), "+", IF(AND(E31=MIN(E$7:E$37), F$7:F30&lt;&gt;"-"), "-", ""))</f>
        <v/>
      </c>
      <c r="G31" s="34">
        <f>IF(ISBLANK('CWMS Data'!$AG33), "", 'CWMS Data'!$AG33)</f>
        <v>26800.000000000004</v>
      </c>
      <c r="H31" s="14" t="str">
        <f t="array" ref="H31">IF(AND(G31=MAX(G$7:G$37), H$7:H30&lt;&gt;"+"), "+", IF(AND(G31=MIN(G$7:G$37), H$7:H30&lt;&gt;"-"), "-", ""))</f>
        <v/>
      </c>
      <c r="I31" s="63">
        <f>IF(ISBLANK('CWMS Data'!$AH33), "", 'CWMS Data'!$AH33)</f>
        <v>0</v>
      </c>
      <c r="J31" s="14" t="str">
        <f t="array" ref="J31">IF(AND(I31=MAX(I$7:I$37), J$7:J30&lt;&gt;"+"), "+", IF(AND(I31=MIN(I$7:I$37), J$7:J30&lt;&gt;"-"), "-", ""))</f>
        <v/>
      </c>
      <c r="K31" s="119">
        <f t="shared" si="0"/>
        <v>26800.000000000004</v>
      </c>
      <c r="L31" s="13" t="str">
        <f t="array" ref="L31">IF(AND(K31=MAX(K$7:K$37), L$7:L30&lt;&gt;"+"), "+", IF(AND(K31=MIN(K$7:K$37), L$7:L30&lt;&gt;"-"), "-", ""))</f>
        <v/>
      </c>
      <c r="M31" s="34">
        <f>IF(ISBLANK('CWMS Data'!$AJ33), "", 'CWMS Data'!$AJ33)</f>
        <v>25000.000000000004</v>
      </c>
      <c r="N31" s="13" t="str">
        <f t="array" ref="N31">IF(AND(M31=MAX(M$7:M$37), N$7:N30&lt;&gt;"+"), "+", IF(AND(M31=MIN(M$7:M$37), N$7:N30&lt;&gt;"-"), "-", ""))</f>
        <v/>
      </c>
      <c r="O31" s="35"/>
      <c r="P31" s="35"/>
      <c r="Q31" s="35"/>
    </row>
    <row r="32" spans="1:17" ht="15" x14ac:dyDescent="0.25">
      <c r="A32" s="30">
        <f>IF(ISBLANK('CWMS Data'!$B34), "", 'CWMS Data'!$B34)</f>
        <v>44069</v>
      </c>
      <c r="B32" s="31">
        <f>IF(ISBLANK('CWMS Data'!$AM34), "", 'CWMS Data'!$AM34)</f>
        <v>1420.73</v>
      </c>
      <c r="C32" s="13" t="str">
        <f t="array" ref="C32">IF(AND(B32=MAX(B$7:B$37), C$7:C31&lt;&gt;"+"), "+", IF(AND(B32=MIN(B$7:B$37), C$7:C31&lt;&gt;"-"), "-", ""))</f>
        <v/>
      </c>
      <c r="D32" s="32">
        <f>IF(ISBLANK('CWMS Data'!$AF34), "", 'CWMS Data'!$AF34)</f>
        <v>0</v>
      </c>
      <c r="E32" s="143">
        <f>IF(ISBLANK('CWMS Data'!$AE34), "", 'CWMS Data'!$AE34)</f>
        <v>600</v>
      </c>
      <c r="F32" s="13" t="str">
        <f t="array" ref="F32">IF(AND(E32=MAX(E$7:E$37), F$7:F31&lt;&gt;"+"), "+", IF(AND(E32=MIN(E$7:E$37), F$7:F31&lt;&gt;"-"), "-", ""))</f>
        <v/>
      </c>
      <c r="G32" s="34">
        <f>IF(ISBLANK('CWMS Data'!$AG34), "", 'CWMS Data'!$AG34)</f>
        <v>27400</v>
      </c>
      <c r="H32" s="14" t="str">
        <f t="array" ref="H32">IF(AND(G32=MAX(G$7:G$37), H$7:H31&lt;&gt;"+"), "+", IF(AND(G32=MIN(G$7:G$37), H$7:H31&lt;&gt;"-"), "-", ""))</f>
        <v/>
      </c>
      <c r="I32" s="63">
        <f>IF(ISBLANK('CWMS Data'!$AH34), "", 'CWMS Data'!$AH34)</f>
        <v>0</v>
      </c>
      <c r="J32" s="14" t="str">
        <f t="array" ref="J32">IF(AND(I32=MAX(I$7:I$37), J$7:J31&lt;&gt;"+"), "+", IF(AND(I32=MIN(I$7:I$37), J$7:J31&lt;&gt;"-"), "-", ""))</f>
        <v/>
      </c>
      <c r="K32" s="119">
        <f t="shared" si="0"/>
        <v>27400</v>
      </c>
      <c r="L32" s="13" t="str">
        <f t="array" ref="L32">IF(AND(K32=MAX(K$7:K$37), L$7:L31&lt;&gt;"+"), "+", IF(AND(K32=MIN(K$7:K$37), L$7:L31&lt;&gt;"-"), "-", ""))</f>
        <v/>
      </c>
      <c r="M32" s="34">
        <f>IF(ISBLANK('CWMS Data'!$AJ34), "", 'CWMS Data'!$AJ34)</f>
        <v>25000.000000000004</v>
      </c>
      <c r="N32" s="13" t="str">
        <f t="array" ref="N32">IF(AND(M32=MAX(M$7:M$37), N$7:N31&lt;&gt;"+"), "+", IF(AND(M32=MIN(M$7:M$37), N$7:N31&lt;&gt;"-"), "-", ""))</f>
        <v/>
      </c>
      <c r="O32" s="35"/>
      <c r="P32" s="35"/>
      <c r="Q32" s="35"/>
    </row>
    <row r="33" spans="1:19" ht="15" x14ac:dyDescent="0.25">
      <c r="A33" s="30">
        <f>IF(ISBLANK('CWMS Data'!$B35), "", 'CWMS Data'!$B35)</f>
        <v>44070</v>
      </c>
      <c r="B33" s="31">
        <f>IF(ISBLANK('CWMS Data'!$AM35), "", 'CWMS Data'!$AM35)</f>
        <v>1420.85</v>
      </c>
      <c r="C33" s="13" t="str">
        <f t="array" ref="C33">IF(AND(B33=MAX(B$7:B$37), C$7:C32&lt;&gt;"+"), "+", IF(AND(B33=MIN(B$7:B$37), C$7:C32&lt;&gt;"-"), "-", ""))</f>
        <v/>
      </c>
      <c r="D33" s="32">
        <f>IF(ISBLANK('CWMS Data'!$AF35), "", 'CWMS Data'!$AF35)</f>
        <v>0</v>
      </c>
      <c r="E33" s="143">
        <f>IF(ISBLANK('CWMS Data'!$AE35), "", 'CWMS Data'!$AE35)</f>
        <v>600</v>
      </c>
      <c r="F33" s="13" t="str">
        <f t="array" ref="F33">IF(AND(E33=MAX(E$7:E$37), F$7:F32&lt;&gt;"+"), "+", IF(AND(E33=MIN(E$7:E$37), F$7:F32&lt;&gt;"-"), "-", ""))</f>
        <v/>
      </c>
      <c r="G33" s="34">
        <f>IF(ISBLANK('CWMS Data'!$AG35), "", 'CWMS Data'!$AG35)</f>
        <v>29000.000000000004</v>
      </c>
      <c r="H33" s="14" t="str">
        <f t="array" ref="H33">IF(AND(G33=MAX(G$7:G$37), H$7:H32&lt;&gt;"+"), "+", IF(AND(G33=MIN(G$7:G$37), H$7:H32&lt;&gt;"-"), "-", ""))</f>
        <v/>
      </c>
      <c r="I33" s="63">
        <f>IF(ISBLANK('CWMS Data'!$AH35), "", 'CWMS Data'!$AH35)</f>
        <v>0</v>
      </c>
      <c r="J33" s="14" t="str">
        <f t="array" ref="J33">IF(AND(I33=MAX(I$7:I$37), J$7:J32&lt;&gt;"+"), "+", IF(AND(I33=MIN(I$7:I$37), J$7:J32&lt;&gt;"-"), "-", ""))</f>
        <v/>
      </c>
      <c r="K33" s="119">
        <f t="shared" si="0"/>
        <v>29000.000000000004</v>
      </c>
      <c r="L33" s="13" t="str">
        <f t="array" ref="L33">IF(AND(K33=MAX(K$7:K$37), L$7:L32&lt;&gt;"+"), "+", IF(AND(K33=MIN(K$7:K$37), L$7:L32&lt;&gt;"-"), "-", ""))</f>
        <v/>
      </c>
      <c r="M33" s="34">
        <f>IF(ISBLANK('CWMS Data'!$AJ35), "", 'CWMS Data'!$AJ35)</f>
        <v>27000.000000000004</v>
      </c>
      <c r="N33" s="13" t="str">
        <f t="array" ref="N33">IF(AND(M33=MAX(M$7:M$37), N$7:N32&lt;&gt;"+"), "+", IF(AND(M33=MIN(M$7:M$37), N$7:N32&lt;&gt;"-"), "-", ""))</f>
        <v/>
      </c>
      <c r="O33" s="35"/>
      <c r="P33" s="35"/>
      <c r="Q33" s="35"/>
    </row>
    <row r="34" spans="1:19" ht="15" x14ac:dyDescent="0.25">
      <c r="A34" s="30">
        <f>IF(ISBLANK('CWMS Data'!$B36), "", 'CWMS Data'!$B36)</f>
        <v>44071</v>
      </c>
      <c r="B34" s="31">
        <f>IF(ISBLANK('CWMS Data'!$AM36), "", 'CWMS Data'!$AM36)</f>
        <v>1420.59</v>
      </c>
      <c r="C34" s="13" t="str">
        <f t="array" ref="C34">IF(AND(B34=MAX(B$7:B$37), C$7:C33&lt;&gt;"+"), "+", IF(AND(B34=MIN(B$7:B$37), C$7:C33&lt;&gt;"-"), "-", ""))</f>
        <v/>
      </c>
      <c r="D34" s="32">
        <f>IF(ISBLANK('CWMS Data'!$AF36), "", 'CWMS Data'!$AF36)</f>
        <v>0</v>
      </c>
      <c r="E34" s="143">
        <f>IF(ISBLANK('CWMS Data'!$AE36), "", 'CWMS Data'!$AE36)</f>
        <v>600</v>
      </c>
      <c r="F34" s="13" t="str">
        <f t="array" ref="F34">IF(AND(E34=MAX(E$7:E$37), F$7:F33&lt;&gt;"+"), "+", IF(AND(E34=MIN(E$7:E$37), F$7:F33&lt;&gt;"-"), "-", ""))</f>
        <v/>
      </c>
      <c r="G34" s="34">
        <f>IF(ISBLANK('CWMS Data'!$AG36), "", 'CWMS Data'!$AG36)</f>
        <v>29500.000000000004</v>
      </c>
      <c r="H34" s="14" t="str">
        <f t="array" ref="H34">IF(AND(G34=MAX(G$7:G$37), H$7:H33&lt;&gt;"+"), "+", IF(AND(G34=MIN(G$7:G$37), H$7:H33&lt;&gt;"-"), "-", ""))</f>
        <v/>
      </c>
      <c r="I34" s="63">
        <f>IF(ISBLANK('CWMS Data'!$AH36), "", 'CWMS Data'!$AH36)</f>
        <v>0</v>
      </c>
      <c r="J34" s="14" t="str">
        <f t="array" ref="J34">IF(AND(I34=MAX(I$7:I$37), J$7:J33&lt;&gt;"+"), "+", IF(AND(I34=MIN(I$7:I$37), J$7:J33&lt;&gt;"-"), "-", ""))</f>
        <v/>
      </c>
      <c r="K34" s="119">
        <f t="shared" si="0"/>
        <v>29500.000000000004</v>
      </c>
      <c r="L34" s="13" t="str">
        <f t="array" ref="L34">IF(AND(K34=MAX(K$7:K$37), L$7:L33&lt;&gt;"+"), "+", IF(AND(K34=MIN(K$7:K$37), L$7:L33&lt;&gt;"-"), "-", ""))</f>
        <v/>
      </c>
      <c r="M34" s="34">
        <f>IF(ISBLANK('CWMS Data'!$AJ36), "", 'CWMS Data'!$AJ36)</f>
        <v>27000.000000000004</v>
      </c>
      <c r="N34" s="13" t="str">
        <f t="array" ref="N34">IF(AND(M34=MAX(M$7:M$37), N$7:N33&lt;&gt;"+"), "+", IF(AND(M34=MIN(M$7:M$37), N$7:N33&lt;&gt;"-"), "-", ""))</f>
        <v/>
      </c>
      <c r="O34" s="35"/>
      <c r="P34" s="35"/>
      <c r="Q34" s="35"/>
    </row>
    <row r="35" spans="1:19" ht="15" x14ac:dyDescent="0.25">
      <c r="A35" s="30">
        <f>IF(ISBLANK('CWMS Data'!$B37), "", 'CWMS Data'!$B37)</f>
        <v>44072</v>
      </c>
      <c r="B35" s="31">
        <f>IF(ISBLANK('CWMS Data'!$AM37), "", 'CWMS Data'!$AM37)</f>
        <v>1420.76</v>
      </c>
      <c r="C35" s="13" t="str">
        <f t="array" ref="C35">IF(AND(B35=MAX(B$7:B$37), C$7:C34&lt;&gt;"+"), "+", IF(AND(B35=MIN(B$7:B$37), C$7:C34&lt;&gt;"-"), "-", ""))</f>
        <v/>
      </c>
      <c r="D35" s="32">
        <f>IF(ISBLANK('CWMS Data'!$AF37), "", 'CWMS Data'!$AF37)</f>
        <v>0</v>
      </c>
      <c r="E35" s="143">
        <f>IF(ISBLANK('CWMS Data'!$AE37), "", 'CWMS Data'!$AE37)</f>
        <v>600</v>
      </c>
      <c r="F35" s="13" t="str">
        <f t="array" ref="F35">IF(AND(E35=MAX(E$7:E$37), F$7:F34&lt;&gt;"+"), "+", IF(AND(E35=MIN(E$7:E$37), F$7:F34&lt;&gt;"-"), "-", ""))</f>
        <v/>
      </c>
      <c r="G35" s="34">
        <f>IF(ISBLANK('CWMS Data'!$AG37), "", 'CWMS Data'!$AG37)</f>
        <v>15900.000000000002</v>
      </c>
      <c r="H35" s="14" t="str">
        <f t="array" ref="H35">IF(AND(G35=MAX(G$7:G$37), H$7:H34&lt;&gt;"+"), "+", IF(AND(G35=MIN(G$7:G$37), H$7:H34&lt;&gt;"-"), "-", ""))</f>
        <v/>
      </c>
      <c r="I35" s="63">
        <f>IF(ISBLANK('CWMS Data'!$AH37), "", 'CWMS Data'!$AH37)</f>
        <v>0</v>
      </c>
      <c r="J35" s="14" t="str">
        <f t="array" ref="J35">IF(AND(I35=MAX(I$7:I$37), J$7:J34&lt;&gt;"+"), "+", IF(AND(I35=MIN(I$7:I$37), J$7:J34&lt;&gt;"-"), "-", ""))</f>
        <v/>
      </c>
      <c r="K35" s="119">
        <f t="shared" si="0"/>
        <v>15900.000000000002</v>
      </c>
      <c r="L35" s="13" t="str">
        <f t="array" ref="L35">IF(AND(K35=MAX(K$7:K$37), L$7:L34&lt;&gt;"+"), "+", IF(AND(K35=MIN(K$7:K$37), L$7:L34&lt;&gt;"-"), "-", ""))</f>
        <v/>
      </c>
      <c r="M35" s="34">
        <f>IF(ISBLANK('CWMS Data'!$AJ37), "", 'CWMS Data'!$AJ37)</f>
        <v>26000</v>
      </c>
      <c r="N35" s="13" t="str">
        <f t="array" ref="N35">IF(AND(M35=MAX(M$7:M$37), N$7:N34&lt;&gt;"+"), "+", IF(AND(M35=MIN(M$7:M$37), N$7:N34&lt;&gt;"-"), "-", ""))</f>
        <v/>
      </c>
      <c r="O35" s="35"/>
      <c r="P35" s="35"/>
      <c r="Q35" s="35"/>
    </row>
    <row r="36" spans="1:19" ht="15" x14ac:dyDescent="0.25">
      <c r="A36" s="30">
        <f>IF(ISBLANK('CWMS Data'!$B38), "", 'CWMS Data'!$B38)</f>
        <v>44073</v>
      </c>
      <c r="B36" s="31">
        <f>IF(ISBLANK('CWMS Data'!$AM38), "", 'CWMS Data'!$AM38)</f>
        <v>1421.07</v>
      </c>
      <c r="C36" s="13" t="str">
        <f t="array" ref="C36">IF(AND(B36=MAX(B$7:B$37), C$7:C35&lt;&gt;"+"), "+", IF(AND(B36=MIN(B$7:B$37), C$7:C35&lt;&gt;"-"), "-", ""))</f>
        <v/>
      </c>
      <c r="D36" s="32">
        <f>IF(ISBLANK('CWMS Data'!$AF38), "", 'CWMS Data'!$AF38)</f>
        <v>0</v>
      </c>
      <c r="E36" s="136">
        <f>IF(ISBLANK('CWMS Data'!$AE38), "", 'CWMS Data'!$AE38)</f>
        <v>600</v>
      </c>
      <c r="F36" s="13" t="str">
        <f t="array" ref="F36">IF(AND(E36=MAX(E$7:E$37), F$7:F35&lt;&gt;"+"), "+", IF(AND(E36=MIN(E$7:E$37), F$7:F35&lt;&gt;"-"), "-", ""))</f>
        <v/>
      </c>
      <c r="G36" s="34">
        <f>IF(ISBLANK('CWMS Data'!$AG38), "", 'CWMS Data'!$AG38)</f>
        <v>19600.000000000004</v>
      </c>
      <c r="H36" s="14" t="str">
        <f t="array" ref="H36">IF(AND(G36=MAX(G$7:G$37), H$7:H35&lt;&gt;"+"), "+", IF(AND(G36=MIN(G$7:G$37), H$7:H35&lt;&gt;"-"), "-", ""))</f>
        <v/>
      </c>
      <c r="I36" s="63">
        <f>IF(ISBLANK('CWMS Data'!$AH38), "", 'CWMS Data'!$AH38)</f>
        <v>0</v>
      </c>
      <c r="J36" s="14" t="str">
        <f t="array" ref="J36">IF(AND(I36=MAX(I$7:I$37), J$7:J35&lt;&gt;"+"), "+", IF(AND(I36=MIN(I$7:I$37), J$7:J35&lt;&gt;"-"), "-", ""))</f>
        <v/>
      </c>
      <c r="K36" s="119">
        <f t="shared" si="0"/>
        <v>19600.000000000004</v>
      </c>
      <c r="L36" s="13" t="str">
        <f t="array" ref="L36">IF(AND(K36=MAX(K$7:K$37), L$7:L35&lt;&gt;"+"), "+", IF(AND(K36=MIN(K$7:K$37), L$7:L35&lt;&gt;"-"), "-", ""))</f>
        <v/>
      </c>
      <c r="M36" s="34">
        <f>IF(ISBLANK('CWMS Data'!$AJ38), "", 'CWMS Data'!$AJ38)</f>
        <v>24000</v>
      </c>
      <c r="N36" s="13" t="str">
        <f t="array" ref="N36">IF(AND(M36=MAX(M$7:M$37), N$7:N35&lt;&gt;"+"), "+", IF(AND(M36=MIN(M$7:M$37), N$7:N35&lt;&gt;"-"), "-", ""))</f>
        <v/>
      </c>
      <c r="O36" s="35"/>
      <c r="P36" s="35"/>
      <c r="Q36" s="35"/>
    </row>
    <row r="37" spans="1:19" ht="15" x14ac:dyDescent="0.25">
      <c r="A37" s="30">
        <f>IF(ISBLANK('CWMS Data'!$B39), "", 'CWMS Data'!$B39)</f>
        <v>44074</v>
      </c>
      <c r="B37" s="31">
        <f>IF(ISBLANK('CWMS Data'!$AM39), "", 'CWMS Data'!$AM39)</f>
        <v>1420.7</v>
      </c>
      <c r="C37" s="13" t="str">
        <f t="array" ref="C37">IF(AND(B37=MAX(B$7:B$37), C$7:C36&lt;&gt;"+"), "+", IF(AND(B37=MIN(B$7:B$37), C$7:C36&lt;&gt;"-"), "-", ""))</f>
        <v/>
      </c>
      <c r="D37" s="32">
        <f>IF(ISBLANK('CWMS Data'!$AF39), "", 'CWMS Data'!$AF39)</f>
        <v>0</v>
      </c>
      <c r="E37" s="136">
        <f>IF(ISBLANK('CWMS Data'!$AE39), "", 'CWMS Data'!$AE39)</f>
        <v>600</v>
      </c>
      <c r="F37" s="13" t="str">
        <f t="array" ref="F37">IF(AND(E37=MAX(E$7:E$37), F$7:F36&lt;&gt;"+"), "+", IF(AND(E37=MIN(E$7:E$37), F$7:F36&lt;&gt;"-"), "-", ""))</f>
        <v/>
      </c>
      <c r="G37" s="34">
        <f>IF(ISBLANK('CWMS Data'!$AG39), "", 'CWMS Data'!$AG39)</f>
        <v>29800.000000000004</v>
      </c>
      <c r="H37" s="15" t="str">
        <f t="array" ref="H37">IF(AND(G37=MAX(G$7:G$37), H$7:H36&lt;&gt;"+"), "+", IF(AND(G37=MIN(G$7:G$37), H$7:H36&lt;&gt;"-"), "-", ""))</f>
        <v/>
      </c>
      <c r="I37" s="63">
        <f>IF(ISBLANK('CWMS Data'!$AH39), "", 'CWMS Data'!$AH39)</f>
        <v>0</v>
      </c>
      <c r="J37" s="15" t="str">
        <f t="array" ref="J37">IF(AND(I37=MAX(I$7:I$37), J$7:J36&lt;&gt;"+"), "+", IF(AND(I37=MIN(I$7:I$37), J$7:J36&lt;&gt;"-"), "-", ""))</f>
        <v/>
      </c>
      <c r="K37" s="63">
        <f>IF(A37="","",I37+G37)</f>
        <v>29800.000000000004</v>
      </c>
      <c r="L37" s="13" t="str">
        <f t="array" ref="L37">IF(AND(K37=MAX(K$7:K$37), L$7:L36&lt;&gt;"+"), "+", IF(AND(K37=MIN(K$7:K$37), L$7:L36&lt;&gt;"-"), "-", ""))</f>
        <v/>
      </c>
      <c r="M37" s="34">
        <f>IF(ISBLANK('CWMS Data'!$AJ39), "", 'CWMS Data'!$AJ39)</f>
        <v>24000</v>
      </c>
      <c r="N37" s="13" t="str">
        <f t="array" ref="N37">IF(AND(M37=MAX(M$7:M$37), N$7:N36&lt;&gt;"+"), "+", IF(AND(M37=MIN(M$7:M$37), N$7:N36&lt;&gt;"-"), "-", ""))</f>
        <v/>
      </c>
      <c r="O37" s="37"/>
      <c r="P37" s="35"/>
      <c r="Q37" s="35"/>
    </row>
    <row r="38" spans="1:19" ht="15" x14ac:dyDescent="0.25">
      <c r="A38" s="155" t="s">
        <v>0</v>
      </c>
      <c r="B38" s="156"/>
      <c r="C38" s="186"/>
      <c r="D38" s="38">
        <f>SUM(D7:D37)</f>
        <v>0</v>
      </c>
      <c r="E38" s="39">
        <f>ROUND(SUM(E7:E37),-2)</f>
        <v>17900</v>
      </c>
      <c r="F38" s="40"/>
      <c r="G38" s="41">
        <f>ROUND(SUM(G7:G37),-2)</f>
        <v>743500</v>
      </c>
      <c r="H38" s="42"/>
      <c r="I38" s="39">
        <f>ROUND(SUM(I7:I37),-2)</f>
        <v>0</v>
      </c>
      <c r="J38" s="43"/>
      <c r="K38" s="39">
        <f>ROUND(SUM(K7:K37),-2)</f>
        <v>743500</v>
      </c>
      <c r="L38" s="44"/>
      <c r="M38" s="41">
        <f>ROUND(SUM(M7:M37),-3)</f>
        <v>774000</v>
      </c>
      <c r="N38" s="44"/>
      <c r="O38" s="35"/>
      <c r="P38" s="35"/>
    </row>
    <row r="39" spans="1:19" ht="15" x14ac:dyDescent="0.25">
      <c r="A39" s="187" t="s">
        <v>1</v>
      </c>
      <c r="B39" s="188"/>
      <c r="C39" s="189"/>
      <c r="D39" s="45"/>
      <c r="E39" s="46">
        <f>ROUND(SUM(E7:E37)*(86400/43560),-2)</f>
        <v>35500</v>
      </c>
      <c r="F39" s="47"/>
      <c r="G39" s="46">
        <f>ROUND(SUM(G7:G37)*(86400/43560),-3)</f>
        <v>1475000</v>
      </c>
      <c r="H39" s="49"/>
      <c r="I39" s="46">
        <f>ROUND(SUM(I7:I37)*(86400/43560),-3)</f>
        <v>0</v>
      </c>
      <c r="J39" s="50"/>
      <c r="K39" s="46">
        <f>ROUND(SUM(K7:K37)*(86400/43560),-3)</f>
        <v>1475000</v>
      </c>
      <c r="L39" s="51"/>
      <c r="M39" s="46">
        <f>ROUND(SUM(M7:M37)*(86400/43560),-3)</f>
        <v>1535000</v>
      </c>
      <c r="N39" s="51"/>
      <c r="O39" s="35"/>
      <c r="Q39" s="121"/>
      <c r="S39" s="35"/>
    </row>
    <row r="40" spans="1:19" ht="15" x14ac:dyDescent="0.25">
      <c r="A40" s="17" t="s">
        <v>2</v>
      </c>
      <c r="B40" s="52">
        <f>AVERAGE(B7:B37)</f>
        <v>1420.6816129032256</v>
      </c>
      <c r="C40" s="53"/>
      <c r="D40" s="54">
        <f>AVERAGE(D7:D37)</f>
        <v>0</v>
      </c>
      <c r="E40" s="46">
        <f>ROUND(AVERAGE(E7:E37),-2)</f>
        <v>600</v>
      </c>
      <c r="F40" s="47"/>
      <c r="G40" s="55">
        <f>ROUND(AVERAGE(G7:G37),-2)</f>
        <v>24000</v>
      </c>
      <c r="H40" s="56"/>
      <c r="I40" s="57">
        <f>ROUND(AVERAGE(I7:I37),-2)</f>
        <v>0</v>
      </c>
      <c r="J40" s="58"/>
      <c r="K40" s="57">
        <f>ROUND(AVERAGE(K7:K37),-2)</f>
        <v>24000</v>
      </c>
      <c r="L40" s="59"/>
      <c r="M40" s="46">
        <f>ROUND(AVERAGE(M7:M37),-2)</f>
        <v>25000</v>
      </c>
      <c r="N40" s="51"/>
      <c r="O40" s="35"/>
      <c r="Q40" s="121"/>
    </row>
    <row r="41" spans="1:19" ht="15" x14ac:dyDescent="0.25">
      <c r="A41" s="155" t="s">
        <v>25</v>
      </c>
      <c r="B41" s="156"/>
      <c r="C41" s="156"/>
      <c r="D41" s="156"/>
      <c r="E41" s="67" t="s">
        <v>31</v>
      </c>
      <c r="F41" s="157">
        <f>INDEX('CWMS Data'!$B$8:$BE$39,MATCH(MAX($A$7:$A$37),'CWMS Data'!$B$8:$B$39,0), 37)</f>
        <v>1674000</v>
      </c>
      <c r="G41" s="157"/>
      <c r="H41" s="62"/>
      <c r="I41" s="62"/>
      <c r="J41" s="153" t="s">
        <v>44</v>
      </c>
      <c r="K41" s="153"/>
      <c r="L41" s="157">
        <f>INDEX('CWMS Data'!$B$8:$BE$39,MATCH(MAX($A$7:$A$37),'CWMS Data'!$B$8:$B$39,0), 37)-'CWMS Data'!AL8</f>
        <v>25000</v>
      </c>
      <c r="M41" s="157"/>
      <c r="N41" s="64"/>
      <c r="Q41" s="121"/>
    </row>
    <row r="42" spans="1:19" ht="15" x14ac:dyDescent="0.25">
      <c r="A42" s="19" t="str">
        <f>TEXT("+ Max", 0)</f>
        <v>+ Max</v>
      </c>
      <c r="B42" s="60"/>
      <c r="C42" s="61"/>
      <c r="D42" s="154" t="s">
        <v>46</v>
      </c>
      <c r="E42" s="154"/>
      <c r="F42" s="157">
        <f>MAX('CWMS Data'!AL9:AL39)</f>
        <v>1697000</v>
      </c>
      <c r="G42" s="157"/>
      <c r="H42" s="62"/>
      <c r="I42" s="62"/>
      <c r="J42" s="154" t="s">
        <v>33</v>
      </c>
      <c r="K42" s="154"/>
      <c r="L42" s="157">
        <f>MIN('CWMS Data'!AL9:AL39)</f>
        <v>1642999.9999999998</v>
      </c>
      <c r="M42" s="157"/>
      <c r="N42" s="65"/>
      <c r="Q42" s="121"/>
      <c r="R42" s="121"/>
      <c r="S42" s="121"/>
    </row>
    <row r="43" spans="1:19" ht="15" x14ac:dyDescent="0.25">
      <c r="A43" s="19" t="str">
        <f>TEXT("- Min", 0)</f>
        <v>- Min</v>
      </c>
      <c r="B43" s="60"/>
      <c r="C43" s="61"/>
      <c r="D43" s="185" t="s">
        <v>45</v>
      </c>
      <c r="E43" s="185"/>
      <c r="F43" s="66" t="str">
        <f t="array" ref="F43">TEXT(SUM(IF('CWMS Data'!AK9:AK39&lt;&gt;-901,'CWMS Data'!AK9:AK39)), "0.00")&amp;" inches"</f>
        <v>1.80 inches</v>
      </c>
      <c r="G43" s="66"/>
      <c r="H43" s="62"/>
      <c r="I43" s="62"/>
      <c r="J43" s="61"/>
      <c r="K43" s="62"/>
      <c r="L43" s="61"/>
      <c r="M43" s="62"/>
      <c r="N43" s="65"/>
    </row>
    <row r="44" spans="1:19" x14ac:dyDescent="0.2">
      <c r="A44" s="190" t="s">
        <v>90</v>
      </c>
      <c r="B44" s="191"/>
      <c r="C44" s="191"/>
      <c r="D44" s="191"/>
      <c r="E44" s="191"/>
      <c r="F44" s="191"/>
      <c r="G44" s="191"/>
      <c r="H44" s="191"/>
      <c r="I44" s="191"/>
      <c r="J44" s="191"/>
      <c r="K44" s="191"/>
      <c r="L44" s="191"/>
      <c r="M44" s="196">
        <f>F3</f>
        <v>44044</v>
      </c>
      <c r="N44" s="197"/>
    </row>
    <row r="45" spans="1:19" x14ac:dyDescent="0.2">
      <c r="A45" s="192"/>
      <c r="B45" s="193"/>
      <c r="C45" s="193"/>
      <c r="D45" s="193"/>
      <c r="E45" s="193"/>
      <c r="F45" s="193"/>
      <c r="G45" s="193"/>
      <c r="H45" s="193"/>
      <c r="I45" s="193"/>
      <c r="J45" s="193"/>
      <c r="K45" s="193"/>
      <c r="L45" s="193"/>
      <c r="M45" s="198"/>
      <c r="N45" s="199"/>
    </row>
    <row r="46" spans="1:19" x14ac:dyDescent="0.2">
      <c r="A46" s="194"/>
      <c r="B46" s="195"/>
      <c r="C46" s="195"/>
      <c r="D46" s="195"/>
      <c r="E46" s="195"/>
      <c r="F46" s="195"/>
      <c r="G46" s="195"/>
      <c r="H46" s="195"/>
      <c r="I46" s="195"/>
      <c r="J46" s="195"/>
      <c r="K46" s="195"/>
      <c r="L46" s="195"/>
      <c r="M46" s="200"/>
      <c r="N46" s="201"/>
    </row>
    <row r="47" spans="1:19" x14ac:dyDescent="0.2">
      <c r="M47" s="35"/>
      <c r="N47" s="35"/>
    </row>
  </sheetData>
  <sheetProtection formatCells="0"/>
  <mergeCells count="30">
    <mergeCell ref="A44:L46"/>
    <mergeCell ref="M44:N46"/>
    <mergeCell ref="D42:E42"/>
    <mergeCell ref="F42:G42"/>
    <mergeCell ref="J42:K42"/>
    <mergeCell ref="L42:M42"/>
    <mergeCell ref="D43:E43"/>
    <mergeCell ref="A41:D41"/>
    <mergeCell ref="F41:G41"/>
    <mergeCell ref="J41:K41"/>
    <mergeCell ref="L41:M41"/>
    <mergeCell ref="B6:C6"/>
    <mergeCell ref="P6:S6"/>
    <mergeCell ref="P7:S7"/>
    <mergeCell ref="P8:S8"/>
    <mergeCell ref="A38:C38"/>
    <mergeCell ref="A39:C39"/>
    <mergeCell ref="P9:Q9"/>
    <mergeCell ref="D4:F4"/>
    <mergeCell ref="G4:N4"/>
    <mergeCell ref="B5:C5"/>
    <mergeCell ref="G5:L5"/>
    <mergeCell ref="M5:N5"/>
    <mergeCell ref="P1:Q1"/>
    <mergeCell ref="A1:N1"/>
    <mergeCell ref="A2:E2"/>
    <mergeCell ref="F2:N2"/>
    <mergeCell ref="A3:E3"/>
    <mergeCell ref="F3:H3"/>
    <mergeCell ref="I3:N3"/>
  </mergeCells>
  <conditionalFormatting sqref="A7:N37">
    <cfRule type="expression" dxfId="8" priority="3">
      <formula>AND(DAY($A7) / 5 = INT(DAY($A7) / 5), DAY($A7)&lt;&gt;30)</formula>
    </cfRule>
  </conditionalFormatting>
  <conditionalFormatting sqref="R9">
    <cfRule type="cellIs" dxfId="7" priority="1" operator="notBetween">
      <formula>-99.9999999</formula>
      <formula>99.9999999</formula>
    </cfRule>
  </conditionalFormatting>
  <dataValidations count="2">
    <dataValidation type="list" allowBlank="1" showInputMessage="1" showErrorMessage="1" sqref="R1" xr:uid="{00000000-0002-0000-0300-000000000000}">
      <formula1>"No, Yes"</formula1>
    </dataValidation>
    <dataValidation type="custom" allowBlank="1" showInputMessage="1" showErrorMessage="1" errorTitle="Protected Cell" error="This cell is protected.  To edit, change cell R1 to &quot;No&quot;." sqref="N7:N37 M44:N46 A1:N6 A7:D37 F7:L37 A38:N43" xr:uid="{00000000-0002-0000-0300-000001000000}">
      <formula1>IF($R$1 = "Yes", FALSE, TRUE)</formula1>
    </dataValidation>
  </dataValidations>
  <printOptions horizontalCentered="1" verticalCentered="1"/>
  <pageMargins left="0.7" right="0.7" top="0.5" bottom="0.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70E11C1A-9AB0-46C4-BAB1-D71243934AF1}">
            <xm:f>K7&lt;&gt;'CWMS Data'!AI9</xm:f>
            <x14:dxf>
              <font>
                <b/>
                <i val="0"/>
                <color theme="5"/>
              </font>
              <fill>
                <patternFill>
                  <bgColor theme="5" tint="0.79998168889431442"/>
                </patternFill>
              </fill>
            </x14:dxf>
          </x14:cfRule>
          <xm:sqref>K7:K37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5"/>
  <dimension ref="A1:AF47"/>
  <sheetViews>
    <sheetView zoomScale="90" zoomScaleNormal="90" workbookViewId="0">
      <selection activeCell="G25" sqref="G25"/>
    </sheetView>
  </sheetViews>
  <sheetFormatPr defaultColWidth="9.140625" defaultRowHeight="14.25" x14ac:dyDescent="0.2"/>
  <cols>
    <col min="1" max="1" width="8" style="24" customWidth="1"/>
    <col min="2" max="2" width="11" style="24" customWidth="1"/>
    <col min="3" max="3" width="2" style="24" customWidth="1"/>
    <col min="4" max="5" width="9.85546875" style="24" customWidth="1"/>
    <col min="6" max="6" width="2" style="24" customWidth="1"/>
    <col min="7" max="7" width="9.85546875" style="24" customWidth="1"/>
    <col min="8" max="8" width="2" style="24" customWidth="1"/>
    <col min="9" max="9" width="9.85546875" style="24" customWidth="1"/>
    <col min="10" max="10" width="2" style="24" customWidth="1"/>
    <col min="11" max="11" width="9.85546875" style="24" customWidth="1"/>
    <col min="12" max="12" width="2" style="24" customWidth="1"/>
    <col min="13" max="13" width="9.85546875" style="24" customWidth="1"/>
    <col min="14" max="14" width="2" style="24" customWidth="1"/>
    <col min="15" max="15" width="9.28515625" style="24" customWidth="1"/>
    <col min="16" max="16" width="11" style="24" bestFit="1" customWidth="1"/>
    <col min="17" max="17" width="10.140625" style="24" bestFit="1" customWidth="1"/>
    <col min="18" max="20" width="9.140625" style="24"/>
    <col min="21" max="21" width="11.7109375" style="24" bestFit="1" customWidth="1"/>
    <col min="22" max="23" width="9.140625" style="24"/>
    <col min="24" max="24" width="12" style="24" customWidth="1"/>
    <col min="25" max="16384" width="9.140625" style="24"/>
  </cols>
  <sheetData>
    <row r="1" spans="1:32" ht="15.75" x14ac:dyDescent="0.25">
      <c r="A1" s="160" t="s">
        <v>43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23"/>
      <c r="P1" s="184" t="s">
        <v>67</v>
      </c>
      <c r="Q1" s="184"/>
      <c r="R1" s="116" t="s">
        <v>68</v>
      </c>
    </row>
    <row r="2" spans="1:32" ht="15.75" x14ac:dyDescent="0.25">
      <c r="A2" s="160" t="s">
        <v>61</v>
      </c>
      <c r="B2" s="160"/>
      <c r="C2" s="160"/>
      <c r="D2" s="160"/>
      <c r="E2" s="160"/>
      <c r="F2" s="160" t="s">
        <v>36</v>
      </c>
      <c r="G2" s="160"/>
      <c r="H2" s="160"/>
      <c r="I2" s="160"/>
      <c r="J2" s="160"/>
      <c r="K2" s="160"/>
      <c r="L2" s="160"/>
      <c r="M2" s="160"/>
      <c r="N2" s="160"/>
      <c r="Y2" s="23"/>
      <c r="Z2" s="23"/>
      <c r="AA2" s="23"/>
      <c r="AB2" s="23"/>
      <c r="AC2" s="23"/>
      <c r="AD2" s="23"/>
      <c r="AE2" s="23"/>
      <c r="AF2" s="23"/>
    </row>
    <row r="3" spans="1:32" ht="15" x14ac:dyDescent="0.25">
      <c r="A3" s="206" t="s">
        <v>52</v>
      </c>
      <c r="B3" s="206"/>
      <c r="C3" s="206"/>
      <c r="D3" s="206"/>
      <c r="E3" s="206"/>
      <c r="F3" s="207">
        <f>'CWMS Data'!$B$9</f>
        <v>44044</v>
      </c>
      <c r="G3" s="207"/>
      <c r="H3" s="207"/>
      <c r="I3" s="208" t="s">
        <v>35</v>
      </c>
      <c r="J3" s="208"/>
      <c r="K3" s="208"/>
      <c r="L3" s="208"/>
      <c r="M3" s="208"/>
      <c r="N3" s="208"/>
    </row>
    <row r="4" spans="1:32" ht="15" x14ac:dyDescent="0.25">
      <c r="A4" s="107"/>
      <c r="B4" s="107"/>
      <c r="C4" s="115"/>
      <c r="D4" s="179" t="s">
        <v>56</v>
      </c>
      <c r="E4" s="180"/>
      <c r="F4" s="181"/>
      <c r="G4" s="168" t="s">
        <v>34</v>
      </c>
      <c r="H4" s="169"/>
      <c r="I4" s="169"/>
      <c r="J4" s="169"/>
      <c r="K4" s="169"/>
      <c r="L4" s="169"/>
      <c r="M4" s="169"/>
      <c r="N4" s="204"/>
      <c r="O4" s="25"/>
    </row>
    <row r="5" spans="1:32" ht="15" x14ac:dyDescent="0.25">
      <c r="A5" s="8">
        <f>$F$3</f>
        <v>44044</v>
      </c>
      <c r="B5" s="172" t="s">
        <v>27</v>
      </c>
      <c r="C5" s="205"/>
      <c r="D5" s="111" t="s">
        <v>57</v>
      </c>
      <c r="E5" s="110" t="s">
        <v>58</v>
      </c>
      <c r="F5" s="109"/>
      <c r="G5" s="179" t="s">
        <v>28</v>
      </c>
      <c r="H5" s="180"/>
      <c r="I5" s="180"/>
      <c r="J5" s="180"/>
      <c r="K5" s="180"/>
      <c r="L5" s="181"/>
      <c r="M5" s="179" t="s">
        <v>29</v>
      </c>
      <c r="N5" s="181"/>
    </row>
    <row r="6" spans="1:32" ht="15" x14ac:dyDescent="0.25">
      <c r="A6" s="9">
        <f>$F$3</f>
        <v>44044</v>
      </c>
      <c r="B6" s="182" t="s">
        <v>42</v>
      </c>
      <c r="C6" s="203"/>
      <c r="D6" s="112" t="s">
        <v>40</v>
      </c>
      <c r="E6" s="114" t="s">
        <v>41</v>
      </c>
      <c r="F6" s="113"/>
      <c r="G6" s="114" t="s">
        <v>37</v>
      </c>
      <c r="H6" s="114"/>
      <c r="I6" s="114" t="s">
        <v>38</v>
      </c>
      <c r="J6" s="114"/>
      <c r="K6" s="114" t="s">
        <v>39</v>
      </c>
      <c r="L6" s="12"/>
      <c r="M6" s="112"/>
      <c r="N6" s="28"/>
      <c r="O6" s="29"/>
      <c r="P6" s="161" t="s">
        <v>62</v>
      </c>
      <c r="Q6" s="162"/>
      <c r="R6" s="162"/>
      <c r="S6" s="163"/>
    </row>
    <row r="7" spans="1:32" ht="15" x14ac:dyDescent="0.25">
      <c r="A7" s="30">
        <f>IF(ISBLANK('CWMS Data'!$B9), "", 'CWMS Data'!$B9)</f>
        <v>44044</v>
      </c>
      <c r="B7" s="31">
        <f>IF(ISBLANK('CWMS Data'!$AV9), "", 'CWMS Data'!$AV9)</f>
        <v>1357.52</v>
      </c>
      <c r="C7" s="13" t="str">
        <f>IF(B7=MAX(B$7:B$37),"+", IF(B7=MIN(B$7:B$37), "-", ""))</f>
        <v/>
      </c>
      <c r="D7" s="32">
        <f>IF(ISBLANK('CWMS Data'!$AO9), "", 'CWMS Data'!$AO9)</f>
        <v>0</v>
      </c>
      <c r="E7" s="108">
        <v>700</v>
      </c>
      <c r="F7" s="13" t="str">
        <f>IF(E7=MAX(E$7:E$37),"+", IF(E7=MIN(E$7:E$37), "-", ""))</f>
        <v>-</v>
      </c>
      <c r="G7" s="34">
        <f>IF(ISBLANK('CWMS Data'!$AP9), "", 'CWMS Data'!$AP9)</f>
        <v>25600</v>
      </c>
      <c r="H7" s="16" t="str">
        <f>IF(G7=MAX(G$7:G$37),"+", IF(G7=MIN(G$7:G$37), "-", ""))</f>
        <v>-</v>
      </c>
      <c r="I7" s="108">
        <f>IF(ISBLANK('CWMS Data'!$AQ9), "", 'CWMS Data'!$AQ9)</f>
        <v>0</v>
      </c>
      <c r="J7" s="16" t="str">
        <f>IF(I7=MAX(I$7:I$37),"+", IF(I7=MIN(I$7:I$37), "-", ""))</f>
        <v>-</v>
      </c>
      <c r="K7" s="119">
        <f t="shared" ref="K7:K36" si="0">IF(A7="","",I7+G7)</f>
        <v>25600</v>
      </c>
      <c r="L7" s="13" t="str">
        <f>IF(K7=MAX(K$7:K$37),"+", IF(K7=MIN(K$7:K$37), "-", ""))</f>
        <v>-</v>
      </c>
      <c r="M7" s="34">
        <f>IF(ISBLANK('CWMS Data'!$AS9), "", 'CWMS Data'!$AS9)</f>
        <v>19000</v>
      </c>
      <c r="N7" s="13" t="str">
        <f>IF(M7=MAX(M$7:M$37),"+", IF(M7=MIN(M$7:M$37), "-", ""))</f>
        <v/>
      </c>
      <c r="O7" s="35"/>
      <c r="P7" s="147" t="str">
        <f>IF(ROUND(FTRA_Storage_Diff_cfs, -3)&lt;0, "Add " &amp; ABS(ROUNDDOWN(FTRA_Storage_Diff_cfs, -3)) &amp; " cfs to inflow", "Subtract " &amp; IF(ABS(FTRA_Storage_Diff_acft) &lt; 100, 0, ABS(ROUNDDOWN(FTRA_Storage_Diff_cfs, -3))) &amp; " cfs to inflow")</f>
        <v>Subtract 0 cfs to inflow</v>
      </c>
      <c r="Q7" s="148"/>
      <c r="R7" s="148"/>
      <c r="S7" s="149"/>
    </row>
    <row r="8" spans="1:32" ht="15" x14ac:dyDescent="0.25">
      <c r="A8" s="30">
        <f>IF(ISBLANK('CWMS Data'!$B10), "", 'CWMS Data'!$B10)</f>
        <v>44045</v>
      </c>
      <c r="B8" s="31">
        <f>IF(ISBLANK('CWMS Data'!$AV10), "", 'CWMS Data'!$AV10)</f>
        <v>1357.26</v>
      </c>
      <c r="C8" s="13" t="str">
        <f t="array" ref="C8">IF(AND(B8=MAX(B$7:B$37), C$7:C7&lt;&gt;"+"), "+", IF(AND(B8=MIN(B$7:B$37), C$7:C7&lt;&gt;"-"), "-", ""))</f>
        <v/>
      </c>
      <c r="D8" s="32">
        <f>IF(ISBLANK('CWMS Data'!$AO10), "", 'CWMS Data'!$AO10)</f>
        <v>0</v>
      </c>
      <c r="E8" s="135">
        <f>IF(ISBLANK('CWMS Data'!$AN10), "", 'CWMS Data'!$AN10)</f>
        <v>800</v>
      </c>
      <c r="F8" s="13" t="str">
        <f t="array" ref="F8">IF(AND(E8=MAX(E$7:E$37), F$7:F7&lt;&gt;"+"), "+", IF(AND(E8=MIN(E$7:E$37), F$7:F7&lt;&gt;"-"), "-", ""))</f>
        <v>+</v>
      </c>
      <c r="G8" s="34">
        <f>IF(ISBLANK('CWMS Data'!$AP10), "", 'CWMS Data'!$AP10)</f>
        <v>26300.000000000004</v>
      </c>
      <c r="H8" s="14" t="str">
        <f t="array" ref="H8">IF(AND(G8=MAX(G$7:G$37), H$7:H7&lt;&gt;"+"), "+", IF(AND(G8=MIN(G$7:G$37), H$7:H7&lt;&gt;"-"), "-", ""))</f>
        <v/>
      </c>
      <c r="I8" s="108">
        <f>IF(ISBLANK('CWMS Data'!$AQ10), "", 'CWMS Data'!$AQ10)</f>
        <v>0</v>
      </c>
      <c r="J8" s="14" t="str">
        <f t="array" ref="J8">IF(AND(I8=MAX(I$7:I$37), J$7:J7&lt;&gt;"+"), "+", IF(AND(I8=MIN(I$7:I$37), J$7:J7&lt;&gt;"-"), "-", ""))</f>
        <v/>
      </c>
      <c r="K8" s="119">
        <f t="shared" si="0"/>
        <v>26300.000000000004</v>
      </c>
      <c r="L8" s="13" t="str">
        <f t="array" ref="L8">IF(AND(K8=MAX(K$7:K$37), L$7:L7&lt;&gt;"+"), "+", IF(AND(K8=MIN(K$7:K$37), L$7:L7&lt;&gt;"-"), "-", ""))</f>
        <v/>
      </c>
      <c r="M8" s="34">
        <f>IF(ISBLANK('CWMS Data'!$AS10), "", 'CWMS Data'!$AS10)</f>
        <v>17000</v>
      </c>
      <c r="N8" s="13" t="str">
        <f t="array" ref="N8">IF(AND(M8=MAX(M$7:M$37), N$7:N7&lt;&gt;"+"), "+", IF(AND(M8=MIN(M$7:M$37), N$7:N7&lt;&gt;"-"), "-", ""))</f>
        <v/>
      </c>
      <c r="O8" s="35"/>
      <c r="P8" s="150" t="str">
        <f>IF(ROUND(ROUNDDOWN(FTRA_Storage_Diff_cfs, -3) - FTRA_Storage_Diff_cfs, -2)&lt;0, "Add ", "Subtract ") &amp; IF(ABS(FTRA_Storage_Diff_acft) &lt; 100, 0, ABS(ROUND(ROUNDDOWN(FTRA_Storage_Diff_cfs, -3) - FTRA_Storage_Diff_cfs, -2))) &amp; " cfs to evap"</f>
        <v>Subtract 0 cfs to evap</v>
      </c>
      <c r="Q8" s="151"/>
      <c r="R8" s="151"/>
      <c r="S8" s="152"/>
      <c r="X8" s="35"/>
    </row>
    <row r="9" spans="1:32" ht="15" x14ac:dyDescent="0.25">
      <c r="A9" s="30">
        <f>IF(ISBLANK('CWMS Data'!$B11), "", 'CWMS Data'!$B11)</f>
        <v>44046</v>
      </c>
      <c r="B9" s="31">
        <f>IF(ISBLANK('CWMS Data'!$AV11), "", 'CWMS Data'!$AV11)</f>
        <v>1357.23</v>
      </c>
      <c r="C9" s="13" t="str">
        <f t="array" ref="C9">IF(AND(B9=MAX(B$7:B$37), C$7:C8&lt;&gt;"+"), "+", IF(AND(B9=MIN(B$7:B$37), C$7:C8&lt;&gt;"-"), "-", ""))</f>
        <v/>
      </c>
      <c r="D9" s="32">
        <f>IF(ISBLANK('CWMS Data'!$AO11), "", 'CWMS Data'!$AO11)</f>
        <v>0</v>
      </c>
      <c r="E9" s="135">
        <f>IF(ISBLANK('CWMS Data'!$AN11), "", 'CWMS Data'!$AN11)</f>
        <v>800</v>
      </c>
      <c r="F9" s="13" t="str">
        <f t="array" ref="F9">IF(AND(E9=MAX(E$7:E$37), F$7:F8&lt;&gt;"+"), "+", IF(AND(E9=MIN(E$7:E$37), F$7:F8&lt;&gt;"-"), "-", ""))</f>
        <v/>
      </c>
      <c r="G9" s="34">
        <f>IF(ISBLANK('CWMS Data'!$AP11), "", 'CWMS Data'!$AP11)</f>
        <v>26200.000000000004</v>
      </c>
      <c r="H9" s="14" t="str">
        <f t="array" ref="H9">IF(AND(G9=MAX(G$7:G$37), H$7:H8&lt;&gt;"+"), "+", IF(AND(G9=MIN(G$7:G$37), H$7:H8&lt;&gt;"-"), "-", ""))</f>
        <v/>
      </c>
      <c r="I9" s="108">
        <f>IF(ISBLANK('CWMS Data'!$AQ11), "", 'CWMS Data'!$AQ11)</f>
        <v>0</v>
      </c>
      <c r="J9" s="14" t="str">
        <f t="array" ref="J9">IF(AND(I9=MAX(I$7:I$37), J$7:J8&lt;&gt;"+"), "+", IF(AND(I9=MIN(I$7:I$37), J$7:J8&lt;&gt;"-"), "-", ""))</f>
        <v/>
      </c>
      <c r="K9" s="119">
        <f t="shared" si="0"/>
        <v>26200.000000000004</v>
      </c>
      <c r="L9" s="13" t="str">
        <f t="array" ref="L9">IF(AND(K9=MAX(K$7:K$37), L$7:L8&lt;&gt;"+"), "+", IF(AND(K9=MIN(K$7:K$37), L$7:L8&lt;&gt;"-"), "-", ""))</f>
        <v/>
      </c>
      <c r="M9" s="34">
        <f>IF(ISBLANK('CWMS Data'!$AS11), "", 'CWMS Data'!$AS11)</f>
        <v>26000</v>
      </c>
      <c r="N9" s="13" t="str">
        <f t="array" ref="N9">IF(AND(M9=MAX(M$7:M$37), N$7:N8&lt;&gt;"+"), "+", IF(AND(M9=MIN(M$7:M$37), N$7:N8&lt;&gt;"-"), "-", ""))</f>
        <v/>
      </c>
      <c r="O9" s="35"/>
      <c r="P9" s="158" t="s">
        <v>70</v>
      </c>
      <c r="Q9" s="159"/>
      <c r="R9" s="126">
        <f>FTRA_Storage_Diff_acft</f>
        <v>-74.380165288806893</v>
      </c>
      <c r="S9" s="127" t="s">
        <v>71</v>
      </c>
      <c r="X9" s="35"/>
    </row>
    <row r="10" spans="1:32" ht="15" x14ac:dyDescent="0.25">
      <c r="A10" s="30">
        <f>IF(ISBLANK('CWMS Data'!$B12), "", 'CWMS Data'!$B12)</f>
        <v>44047</v>
      </c>
      <c r="B10" s="31">
        <f>IF(ISBLANK('CWMS Data'!$AV12), "", 'CWMS Data'!$AV12)</f>
        <v>1357.24</v>
      </c>
      <c r="C10" s="13" t="str">
        <f t="array" ref="C10">IF(AND(B10=MAX(B$7:B$37), C$7:C9&lt;&gt;"+"), "+", IF(AND(B10=MIN(B$7:B$37), C$7:C9&lt;&gt;"-"), "-", ""))</f>
        <v/>
      </c>
      <c r="D10" s="32">
        <f>IF(ISBLANK('CWMS Data'!$AO12), "", 'CWMS Data'!$AO12)</f>
        <v>0</v>
      </c>
      <c r="E10" s="135">
        <f>IF(ISBLANK('CWMS Data'!$AN12), "", 'CWMS Data'!$AN12)</f>
        <v>800</v>
      </c>
      <c r="F10" s="13" t="str">
        <f t="array" ref="F10">IF(AND(E10=MAX(E$7:E$37), F$7:F9&lt;&gt;"+"), "+", IF(AND(E10=MIN(E$7:E$37), F$7:F9&lt;&gt;"-"), "-", ""))</f>
        <v/>
      </c>
      <c r="G10" s="34">
        <f>IF(ISBLANK('CWMS Data'!$AP12), "", 'CWMS Data'!$AP12)</f>
        <v>25600</v>
      </c>
      <c r="H10" s="14" t="str">
        <f t="array" ref="H10">IF(AND(G10=MAX(G$7:G$37), H$7:H9&lt;&gt;"+"), "+", IF(AND(G10=MIN(G$7:G$37), H$7:H9&lt;&gt;"-"), "-", ""))</f>
        <v/>
      </c>
      <c r="I10" s="108">
        <f>IF(ISBLANK('CWMS Data'!$AQ12), "", 'CWMS Data'!$AQ12)</f>
        <v>700</v>
      </c>
      <c r="J10" s="14" t="str">
        <f t="array" ref="J10">IF(AND(I10=MAX(I$7:I$37), J$7:J9&lt;&gt;"+"), "+", IF(AND(I10=MIN(I$7:I$37), J$7:J9&lt;&gt;"-"), "-", ""))</f>
        <v>+</v>
      </c>
      <c r="K10" s="119">
        <f t="shared" si="0"/>
        <v>26300</v>
      </c>
      <c r="L10" s="13" t="str">
        <f t="array" ref="L10">IF(AND(K10=MAX(K$7:K$37), L$7:L9&lt;&gt;"+"), "+", IF(AND(K10=MIN(K$7:K$37), L$7:L9&lt;&gt;"-"), "-", ""))</f>
        <v/>
      </c>
      <c r="M10" s="34">
        <f>IF(ISBLANK('CWMS Data'!$AS12), "", 'CWMS Data'!$AS12)</f>
        <v>31000</v>
      </c>
      <c r="N10" s="13" t="str">
        <f t="array" ref="N10">IF(AND(M10=MAX(M$7:M$37), N$7:N9&lt;&gt;"+"), "+", IF(AND(M10=MIN(M$7:M$37), N$7:N9&lt;&gt;"-"), "-", ""))</f>
        <v>+</v>
      </c>
      <c r="O10" s="35"/>
      <c r="X10" s="35"/>
    </row>
    <row r="11" spans="1:32" ht="15" x14ac:dyDescent="0.25">
      <c r="A11" s="36">
        <f>IF(ISBLANK('CWMS Data'!$B13), "", 'CWMS Data'!$B13)</f>
        <v>44048</v>
      </c>
      <c r="B11" s="31">
        <f>IF(ISBLANK('CWMS Data'!$AV13), "", 'CWMS Data'!$AV13)</f>
        <v>1357.49</v>
      </c>
      <c r="C11" s="13" t="str">
        <f t="array" ref="C11">IF(AND(B11=MAX(B$7:B$37), C$7:C10&lt;&gt;"+"), "+", IF(AND(B11=MIN(B$7:B$37), C$7:C10&lt;&gt;"-"), "-", ""))</f>
        <v/>
      </c>
      <c r="D11" s="32">
        <f>IF(ISBLANK('CWMS Data'!$AO13), "", 'CWMS Data'!$AO13)</f>
        <v>0</v>
      </c>
      <c r="E11" s="132">
        <f>IF(ISBLANK('CWMS Data'!$AN13), "", 'CWMS Data'!$AN13)</f>
        <v>800</v>
      </c>
      <c r="F11" s="13" t="str">
        <f t="array" ref="F11">IF(AND(E11=MAX(E$7:E$37), F$7:F10&lt;&gt;"+"), "+", IF(AND(E11=MIN(E$7:E$37), F$7:F10&lt;&gt;"-"), "-", ""))</f>
        <v/>
      </c>
      <c r="G11" s="34">
        <f>IF(ISBLANK('CWMS Data'!$AP13), "", 'CWMS Data'!$AP13)</f>
        <v>27200.000000000004</v>
      </c>
      <c r="H11" s="14" t="str">
        <f t="array" ref="H11">IF(AND(G11=MAX(G$7:G$37), H$7:H10&lt;&gt;"+"), "+", IF(AND(G11=MIN(G$7:G$37), H$7:H10&lt;&gt;"-"), "-", ""))</f>
        <v/>
      </c>
      <c r="I11" s="108">
        <f>IF(ISBLANK('CWMS Data'!$AQ13), "", 'CWMS Data'!$AQ13)</f>
        <v>0</v>
      </c>
      <c r="J11" s="14" t="str">
        <f t="array" ref="J11">IF(AND(I11=MAX(I$7:I$37), J$7:J10&lt;&gt;"+"), "+", IF(AND(I11=MIN(I$7:I$37), J$7:J10&lt;&gt;"-"), "-", ""))</f>
        <v/>
      </c>
      <c r="K11" s="119">
        <f t="shared" si="0"/>
        <v>27200.000000000004</v>
      </c>
      <c r="L11" s="13" t="str">
        <f t="array" ref="L11">IF(AND(K11=MAX(K$7:K$37), L$7:L10&lt;&gt;"+"), "+", IF(AND(K11=MIN(K$7:K$37), L$7:L10&lt;&gt;"-"), "-", ""))</f>
        <v/>
      </c>
      <c r="M11" s="34">
        <f>IF(ISBLANK('CWMS Data'!$AS13), "", 'CWMS Data'!$AS13)</f>
        <v>31000</v>
      </c>
      <c r="N11" s="13" t="str">
        <f t="array" ref="N11">IF(AND(M11=MAX(M$7:M$37), N$7:N10&lt;&gt;"+"), "+", IF(AND(M11=MIN(M$7:M$37), N$7:N10&lt;&gt;"-"), "-", ""))</f>
        <v/>
      </c>
      <c r="O11" s="35"/>
      <c r="P11" s="35"/>
      <c r="Q11" s="35"/>
    </row>
    <row r="12" spans="1:32" ht="15" x14ac:dyDescent="0.25">
      <c r="A12" s="30">
        <f>IF(ISBLANK('CWMS Data'!$B14), "", 'CWMS Data'!$B14)</f>
        <v>44049</v>
      </c>
      <c r="B12" s="31">
        <f>IF(ISBLANK('CWMS Data'!$AV14), "", 'CWMS Data'!$AV14)</f>
        <v>1357.4799999999998</v>
      </c>
      <c r="C12" s="13" t="str">
        <f t="array" ref="C12">IF(AND(B12=MAX(B$7:B$37), C$7:C11&lt;&gt;"+"), "+", IF(AND(B12=MIN(B$7:B$37), C$7:C11&lt;&gt;"-"), "-", ""))</f>
        <v/>
      </c>
      <c r="D12" s="32">
        <f>IF(ISBLANK('CWMS Data'!$AO14), "", 'CWMS Data'!$AO14)</f>
        <v>0</v>
      </c>
      <c r="E12" s="132">
        <f>IF(ISBLANK('CWMS Data'!$AN14), "", 'CWMS Data'!$AN14)</f>
        <v>800</v>
      </c>
      <c r="F12" s="13" t="str">
        <f t="array" ref="F12">IF(AND(E12=MAX(E$7:E$37), F$7:F11&lt;&gt;"+"), "+", IF(AND(E12=MIN(E$7:E$37), F$7:F11&lt;&gt;"-"), "-", ""))</f>
        <v/>
      </c>
      <c r="G12" s="34">
        <f>IF(ISBLANK('CWMS Data'!$AP14), "", 'CWMS Data'!$AP14)</f>
        <v>26100.000000000004</v>
      </c>
      <c r="H12" s="14" t="str">
        <f t="array" ref="H12">IF(AND(G12=MAX(G$7:G$37), H$7:H11&lt;&gt;"+"), "+", IF(AND(G12=MIN(G$7:G$37), H$7:H11&lt;&gt;"-"), "-", ""))</f>
        <v/>
      </c>
      <c r="I12" s="108">
        <f>IF(ISBLANK('CWMS Data'!$AQ14), "", 'CWMS Data'!$AQ14)</f>
        <v>0</v>
      </c>
      <c r="J12" s="14" t="str">
        <f t="array" ref="J12">IF(AND(I12=MAX(I$7:I$37), J$7:J11&lt;&gt;"+"), "+", IF(AND(I12=MIN(I$7:I$37), J$7:J11&lt;&gt;"-"), "-", ""))</f>
        <v/>
      </c>
      <c r="K12" s="119">
        <f t="shared" si="0"/>
        <v>26100.000000000004</v>
      </c>
      <c r="L12" s="13" t="str">
        <f t="array" ref="L12">IF(AND(K12=MAX(K$7:K$37), L$7:L11&lt;&gt;"+"), "+", IF(AND(K12=MIN(K$7:K$37), L$7:L11&lt;&gt;"-"), "-", ""))</f>
        <v/>
      </c>
      <c r="M12" s="34">
        <f>IF(ISBLANK('CWMS Data'!$AS14), "", 'CWMS Data'!$AS14)</f>
        <v>31000</v>
      </c>
      <c r="N12" s="13" t="str">
        <f t="array" ref="N12">IF(AND(M12=MAX(M$7:M$37), N$7:N11&lt;&gt;"+"), "+", IF(AND(M12=MIN(M$7:M$37), N$7:N11&lt;&gt;"-"), "-", ""))</f>
        <v/>
      </c>
      <c r="O12" s="35"/>
      <c r="P12" s="35"/>
      <c r="Q12" s="35"/>
    </row>
    <row r="13" spans="1:32" ht="15" x14ac:dyDescent="0.25">
      <c r="A13" s="30">
        <f>IF(ISBLANK('CWMS Data'!$B15), "", 'CWMS Data'!$B15)</f>
        <v>44050</v>
      </c>
      <c r="B13" s="31">
        <f>IF(ISBLANK('CWMS Data'!$AV15), "", 'CWMS Data'!$AV15)</f>
        <v>1357.53</v>
      </c>
      <c r="C13" s="13" t="str">
        <f t="array" ref="C13">IF(AND(B13=MAX(B$7:B$37), C$7:C12&lt;&gt;"+"), "+", IF(AND(B13=MIN(B$7:B$37), C$7:C12&lt;&gt;"-"), "-", ""))</f>
        <v>+</v>
      </c>
      <c r="D13" s="32">
        <f>IF(ISBLANK('CWMS Data'!$AO15), "", 'CWMS Data'!$AO15)</f>
        <v>0</v>
      </c>
      <c r="E13" s="132">
        <f>IF(ISBLANK('CWMS Data'!$AN15), "", 'CWMS Data'!$AN15)</f>
        <v>800</v>
      </c>
      <c r="F13" s="13" t="str">
        <f t="array" ref="F13">IF(AND(E13=MAX(E$7:E$37), F$7:F12&lt;&gt;"+"), "+", IF(AND(E13=MIN(E$7:E$37), F$7:F12&lt;&gt;"-"), "-", ""))</f>
        <v/>
      </c>
      <c r="G13" s="34">
        <f>IF(ISBLANK('CWMS Data'!$AP15), "", 'CWMS Data'!$AP15)</f>
        <v>26300.000000000004</v>
      </c>
      <c r="H13" s="14" t="str">
        <f t="array" ref="H13">IF(AND(G13=MAX(G$7:G$37), H$7:H12&lt;&gt;"+"), "+", IF(AND(G13=MIN(G$7:G$37), H$7:H12&lt;&gt;"-"), "-", ""))</f>
        <v/>
      </c>
      <c r="I13" s="108">
        <f>IF(ISBLANK('CWMS Data'!$AQ15), "", 'CWMS Data'!$AQ15)</f>
        <v>0</v>
      </c>
      <c r="J13" s="14" t="str">
        <f t="array" ref="J13">IF(AND(I13=MAX(I$7:I$37), J$7:J12&lt;&gt;"+"), "+", IF(AND(I13=MIN(I$7:I$37), J$7:J12&lt;&gt;"-"), "-", ""))</f>
        <v/>
      </c>
      <c r="K13" s="119">
        <f t="shared" si="0"/>
        <v>26300.000000000004</v>
      </c>
      <c r="L13" s="13" t="str">
        <f t="array" ref="L13">IF(AND(K13=MAX(K$7:K$37), L$7:L12&lt;&gt;"+"), "+", IF(AND(K13=MIN(K$7:K$37), L$7:L12&lt;&gt;"-"), "-", ""))</f>
        <v/>
      </c>
      <c r="M13" s="34">
        <f>IF(ISBLANK('CWMS Data'!$AS15), "", 'CWMS Data'!$AS15)</f>
        <v>30000.000000000004</v>
      </c>
      <c r="N13" s="13" t="str">
        <f t="array" ref="N13">IF(AND(M13=MAX(M$7:M$37), N$7:N12&lt;&gt;"+"), "+", IF(AND(M13=MIN(M$7:M$37), N$7:N12&lt;&gt;"-"), "-", ""))</f>
        <v/>
      </c>
      <c r="O13" s="35"/>
      <c r="P13" s="35"/>
      <c r="Q13" s="35"/>
    </row>
    <row r="14" spans="1:32" ht="15" x14ac:dyDescent="0.25">
      <c r="A14" s="30">
        <f>IF(ISBLANK('CWMS Data'!$B16), "", 'CWMS Data'!$B16)</f>
        <v>44051</v>
      </c>
      <c r="B14" s="31">
        <f>IF(ISBLANK('CWMS Data'!$AV16), "", 'CWMS Data'!$AV16)</f>
        <v>1357.28</v>
      </c>
      <c r="C14" s="13" t="str">
        <f t="array" ref="C14">IF(AND(B14=MAX(B$7:B$37), C$7:C13&lt;&gt;"+"), "+", IF(AND(B14=MIN(B$7:B$37), C$7:C13&lt;&gt;"-"), "-", ""))</f>
        <v/>
      </c>
      <c r="D14" s="32">
        <f>IF(ISBLANK('CWMS Data'!$AO16), "", 'CWMS Data'!$AO16)</f>
        <v>0</v>
      </c>
      <c r="E14" s="137">
        <f>IF(ISBLANK('CWMS Data'!$AN16), "", 'CWMS Data'!$AN16)</f>
        <v>800</v>
      </c>
      <c r="F14" s="13" t="str">
        <f t="array" ref="F14">IF(AND(E14=MAX(E$7:E$37), F$7:F13&lt;&gt;"+"), "+", IF(AND(E14=MIN(E$7:E$37), F$7:F13&lt;&gt;"-"), "-", ""))</f>
        <v/>
      </c>
      <c r="G14" s="34">
        <f>IF(ISBLANK('CWMS Data'!$AP16), "", 'CWMS Data'!$AP16)</f>
        <v>26200.000000000004</v>
      </c>
      <c r="H14" s="14" t="str">
        <f t="array" ref="H14">IF(AND(G14=MAX(G$7:G$37), H$7:H13&lt;&gt;"+"), "+", IF(AND(G14=MIN(G$7:G$37), H$7:H13&lt;&gt;"-"), "-", ""))</f>
        <v/>
      </c>
      <c r="I14" s="108">
        <f>IF(ISBLANK('CWMS Data'!$AQ16), "", 'CWMS Data'!$AQ16)</f>
        <v>0</v>
      </c>
      <c r="J14" s="14" t="str">
        <f t="array" ref="J14">IF(AND(I14=MAX(I$7:I$37), J$7:J13&lt;&gt;"+"), "+", IF(AND(I14=MIN(I$7:I$37), J$7:J13&lt;&gt;"-"), "-", ""))</f>
        <v/>
      </c>
      <c r="K14" s="119">
        <f t="shared" si="0"/>
        <v>26200.000000000004</v>
      </c>
      <c r="L14" s="13" t="str">
        <f t="array" ref="L14">IF(AND(K14=MAX(K$7:K$37), L$7:L13&lt;&gt;"+"), "+", IF(AND(K14=MIN(K$7:K$37), L$7:L13&lt;&gt;"-"), "-", ""))</f>
        <v/>
      </c>
      <c r="M14" s="34">
        <f>IF(ISBLANK('CWMS Data'!$AS16), "", 'CWMS Data'!$AS16)</f>
        <v>19000</v>
      </c>
      <c r="N14" s="13" t="str">
        <f t="array" ref="N14">IF(AND(M14=MAX(M$7:M$37), N$7:N13&lt;&gt;"+"), "+", IF(AND(M14=MIN(M$7:M$37), N$7:N13&lt;&gt;"-"), "-", ""))</f>
        <v/>
      </c>
      <c r="O14" s="35"/>
      <c r="P14" s="35"/>
      <c r="Q14" s="35"/>
    </row>
    <row r="15" spans="1:32" ht="15" x14ac:dyDescent="0.25">
      <c r="A15" s="30">
        <f>IF(ISBLANK('CWMS Data'!$B17), "", 'CWMS Data'!$B17)</f>
        <v>44052</v>
      </c>
      <c r="B15" s="31">
        <f>IF(ISBLANK('CWMS Data'!$AV17), "", 'CWMS Data'!$AV17)</f>
        <v>1357.33</v>
      </c>
      <c r="C15" s="13" t="str">
        <f t="array" ref="C15">IF(AND(B15=MAX(B$7:B$37), C$7:C14&lt;&gt;"+"), "+", IF(AND(B15=MIN(B$7:B$37), C$7:C14&lt;&gt;"-"), "-", ""))</f>
        <v/>
      </c>
      <c r="D15" s="32">
        <f>IF(ISBLANK('CWMS Data'!$AO17), "", 'CWMS Data'!$AO17)</f>
        <v>0</v>
      </c>
      <c r="E15" s="137">
        <f>IF(ISBLANK('CWMS Data'!$AN17), "", 'CWMS Data'!$AN17)</f>
        <v>800</v>
      </c>
      <c r="F15" s="13" t="str">
        <f t="array" ref="F15">IF(AND(E15=MAX(E$7:E$37), F$7:F14&lt;&gt;"+"), "+", IF(AND(E15=MIN(E$7:E$37), F$7:F14&lt;&gt;"-"), "-", ""))</f>
        <v/>
      </c>
      <c r="G15" s="34">
        <f>IF(ISBLANK('CWMS Data'!$AP17), "", 'CWMS Data'!$AP17)</f>
        <v>26200.000000000004</v>
      </c>
      <c r="H15" s="14" t="str">
        <f t="array" ref="H15">IF(AND(G15=MAX(G$7:G$37), H$7:H14&lt;&gt;"+"), "+", IF(AND(G15=MIN(G$7:G$37), H$7:H14&lt;&gt;"-"), "-", ""))</f>
        <v/>
      </c>
      <c r="I15" s="108">
        <f>IF(ISBLANK('CWMS Data'!$AQ17), "", 'CWMS Data'!$AQ17)</f>
        <v>0</v>
      </c>
      <c r="J15" s="14" t="str">
        <f t="array" ref="J15">IF(AND(I15=MAX(I$7:I$37), J$7:J14&lt;&gt;"+"), "+", IF(AND(I15=MIN(I$7:I$37), J$7:J14&lt;&gt;"-"), "-", ""))</f>
        <v/>
      </c>
      <c r="K15" s="119">
        <f t="shared" si="0"/>
        <v>26200.000000000004</v>
      </c>
      <c r="L15" s="13" t="str">
        <f t="array" ref="L15">IF(AND(K15=MAX(K$7:K$37), L$7:L14&lt;&gt;"+"), "+", IF(AND(K15=MIN(K$7:K$37), L$7:L14&lt;&gt;"-"), "-", ""))</f>
        <v/>
      </c>
      <c r="M15" s="34">
        <f>IF(ISBLANK('CWMS Data'!$AS17), "", 'CWMS Data'!$AS17)</f>
        <v>16000.000000000002</v>
      </c>
      <c r="N15" s="13" t="str">
        <f t="array" ref="N15">IF(AND(M15=MAX(M$7:M$37), N$7:N14&lt;&gt;"+"), "+", IF(AND(M15=MIN(M$7:M$37), N$7:N14&lt;&gt;"-"), "-", ""))</f>
        <v/>
      </c>
      <c r="O15" s="35"/>
      <c r="P15" s="35"/>
      <c r="Q15" s="35"/>
    </row>
    <row r="16" spans="1:32" ht="15" x14ac:dyDescent="0.25">
      <c r="A16" s="36">
        <f>IF(ISBLANK('CWMS Data'!$B18), "", 'CWMS Data'!$B18)</f>
        <v>44053</v>
      </c>
      <c r="B16" s="31">
        <f>IF(ISBLANK('CWMS Data'!$AV18), "", 'CWMS Data'!$AV18)</f>
        <v>1357.11</v>
      </c>
      <c r="C16" s="13" t="str">
        <f t="array" ref="C16">IF(AND(B16=MAX(B$7:B$37), C$7:C15&lt;&gt;"+"), "+", IF(AND(B16=MIN(B$7:B$37), C$7:C15&lt;&gt;"-"), "-", ""))</f>
        <v/>
      </c>
      <c r="D16" s="32">
        <f>IF(ISBLANK('CWMS Data'!$AO18), "", 'CWMS Data'!$AO18)</f>
        <v>0</v>
      </c>
      <c r="E16" s="137">
        <f>IF(ISBLANK('CWMS Data'!$AN18), "", 'CWMS Data'!$AN18)</f>
        <v>800</v>
      </c>
      <c r="F16" s="13" t="str">
        <f t="array" ref="F16">IF(AND(E16=MAX(E$7:E$37), F$7:F15&lt;&gt;"+"), "+", IF(AND(E16=MIN(E$7:E$37), F$7:F15&lt;&gt;"-"), "-", ""))</f>
        <v/>
      </c>
      <c r="G16" s="34">
        <f>IF(ISBLANK('CWMS Data'!$AP18), "", 'CWMS Data'!$AP18)</f>
        <v>26200.000000000004</v>
      </c>
      <c r="H16" s="14" t="str">
        <f t="array" ref="H16">IF(AND(G16=MAX(G$7:G$37), H$7:H15&lt;&gt;"+"), "+", IF(AND(G16=MIN(G$7:G$37), H$7:H15&lt;&gt;"-"), "-", ""))</f>
        <v/>
      </c>
      <c r="I16" s="108">
        <f>IF(ISBLANK('CWMS Data'!$AQ18), "", 'CWMS Data'!$AQ18)</f>
        <v>0</v>
      </c>
      <c r="J16" s="14" t="str">
        <f t="array" ref="J16">IF(AND(I16=MAX(I$7:I$37), J$7:J15&lt;&gt;"+"), "+", IF(AND(I16=MIN(I$7:I$37), J$7:J15&lt;&gt;"-"), "-", ""))</f>
        <v/>
      </c>
      <c r="K16" s="119">
        <f t="shared" si="0"/>
        <v>26200.000000000004</v>
      </c>
      <c r="L16" s="13" t="str">
        <f t="array" ref="L16">IF(AND(K16=MAX(K$7:K$37), L$7:L15&lt;&gt;"+"), "+", IF(AND(K16=MIN(K$7:K$37), L$7:L15&lt;&gt;"-"), "-", ""))</f>
        <v/>
      </c>
      <c r="M16" s="34">
        <f>IF(ISBLANK('CWMS Data'!$AS18), "", 'CWMS Data'!$AS18)</f>
        <v>25000.000000000004</v>
      </c>
      <c r="N16" s="13" t="str">
        <f t="array" ref="N16">IF(AND(M16=MAX(M$7:M$37), N$7:N15&lt;&gt;"+"), "+", IF(AND(M16=MIN(M$7:M$37), N$7:N15&lt;&gt;"-"), "-", ""))</f>
        <v/>
      </c>
      <c r="O16" s="35"/>
      <c r="P16" s="35"/>
      <c r="Q16" s="35"/>
    </row>
    <row r="17" spans="1:17" ht="15" x14ac:dyDescent="0.25">
      <c r="A17" s="30">
        <f>IF(ISBLANK('CWMS Data'!$B19), "", 'CWMS Data'!$B19)</f>
        <v>44054</v>
      </c>
      <c r="B17" s="31">
        <f>IF(ISBLANK('CWMS Data'!$AV19), "", 'CWMS Data'!$AV19)</f>
        <v>1356.9199999999998</v>
      </c>
      <c r="C17" s="13" t="str">
        <f t="array" ref="C17">IF(AND(B17=MAX(B$7:B$37), C$7:C16&lt;&gt;"+"), "+", IF(AND(B17=MIN(B$7:B$37), C$7:C16&lt;&gt;"-"), "-", ""))</f>
        <v/>
      </c>
      <c r="D17" s="32">
        <f>IF(ISBLANK('CWMS Data'!$AO19), "", 'CWMS Data'!$AO19)</f>
        <v>0</v>
      </c>
      <c r="E17" s="137">
        <f>IF(ISBLANK('CWMS Data'!$AN19), "", 'CWMS Data'!$AN19)</f>
        <v>800</v>
      </c>
      <c r="F17" s="13" t="str">
        <f t="array" ref="F17">IF(AND(E17=MAX(E$7:E$37), F$7:F16&lt;&gt;"+"), "+", IF(AND(E17=MIN(E$7:E$37), F$7:F16&lt;&gt;"-"), "-", ""))</f>
        <v/>
      </c>
      <c r="G17" s="34">
        <f>IF(ISBLANK('CWMS Data'!$AP19), "", 'CWMS Data'!$AP19)</f>
        <v>26400.000000000004</v>
      </c>
      <c r="H17" s="14" t="str">
        <f t="array" ref="H17">IF(AND(G17=MAX(G$7:G$37), H$7:H16&lt;&gt;"+"), "+", IF(AND(G17=MIN(G$7:G$37), H$7:H16&lt;&gt;"-"), "-", ""))</f>
        <v/>
      </c>
      <c r="I17" s="108">
        <f>IF(ISBLANK('CWMS Data'!$AQ19), "", 'CWMS Data'!$AQ19)</f>
        <v>0</v>
      </c>
      <c r="J17" s="14" t="str">
        <f t="array" ref="J17">IF(AND(I17=MAX(I$7:I$37), J$7:J16&lt;&gt;"+"), "+", IF(AND(I17=MIN(I$7:I$37), J$7:J16&lt;&gt;"-"), "-", ""))</f>
        <v/>
      </c>
      <c r="K17" s="119">
        <f t="shared" si="0"/>
        <v>26400.000000000004</v>
      </c>
      <c r="L17" s="13" t="str">
        <f t="array" ref="L17">IF(AND(K17=MAX(K$7:K$37), L$7:L16&lt;&gt;"+"), "+", IF(AND(K17=MIN(K$7:K$37), L$7:L16&lt;&gt;"-"), "-", ""))</f>
        <v/>
      </c>
      <c r="M17" s="34">
        <f>IF(ISBLANK('CWMS Data'!$AS19), "", 'CWMS Data'!$AS19)</f>
        <v>27000.000000000004</v>
      </c>
      <c r="N17" s="13" t="str">
        <f t="array" ref="N17">IF(AND(M17=MAX(M$7:M$37), N$7:N16&lt;&gt;"+"), "+", IF(AND(M17=MIN(M$7:M$37), N$7:N16&lt;&gt;"-"), "-", ""))</f>
        <v/>
      </c>
      <c r="O17" s="35"/>
      <c r="P17" s="35"/>
      <c r="Q17" s="35"/>
    </row>
    <row r="18" spans="1:17" ht="15" x14ac:dyDescent="0.25">
      <c r="A18" s="30">
        <f>IF(ISBLANK('CWMS Data'!$B20), "", 'CWMS Data'!$B20)</f>
        <v>44055</v>
      </c>
      <c r="B18" s="31">
        <f>IF(ISBLANK('CWMS Data'!$AV20), "", 'CWMS Data'!$AV20)</f>
        <v>1357.08</v>
      </c>
      <c r="C18" s="13" t="str">
        <f t="array" ref="C18">IF(AND(B18=MAX(B$7:B$37), C$7:C17&lt;&gt;"+"), "+", IF(AND(B18=MIN(B$7:B$37), C$7:C17&lt;&gt;"-"), "-", ""))</f>
        <v/>
      </c>
      <c r="D18" s="32">
        <f>IF(ISBLANK('CWMS Data'!$AO20), "", 'CWMS Data'!$AO20)</f>
        <v>0</v>
      </c>
      <c r="E18" s="137">
        <f>IF(ISBLANK('CWMS Data'!$AN20), "", 'CWMS Data'!$AN20)</f>
        <v>800</v>
      </c>
      <c r="F18" s="13" t="str">
        <f t="array" ref="F18">IF(AND(E18=MAX(E$7:E$37), F$7:F17&lt;&gt;"+"), "+", IF(AND(E18=MIN(E$7:E$37), F$7:F17&lt;&gt;"-"), "-", ""))</f>
        <v/>
      </c>
      <c r="G18" s="34">
        <f>IF(ISBLANK('CWMS Data'!$AP20), "", 'CWMS Data'!$AP20)</f>
        <v>26200.000000000004</v>
      </c>
      <c r="H18" s="14" t="str">
        <f t="array" ref="H18">IF(AND(G18=MAX(G$7:G$37), H$7:H17&lt;&gt;"+"), "+", IF(AND(G18=MIN(G$7:G$37), H$7:H17&lt;&gt;"-"), "-", ""))</f>
        <v/>
      </c>
      <c r="I18" s="108">
        <f>IF(ISBLANK('CWMS Data'!$AQ20), "", 'CWMS Data'!$AQ20)</f>
        <v>0</v>
      </c>
      <c r="J18" s="14" t="str">
        <f t="array" ref="J18">IF(AND(I18=MAX(I$7:I$37), J$7:J17&lt;&gt;"+"), "+", IF(AND(I18=MIN(I$7:I$37), J$7:J17&lt;&gt;"-"), "-", ""))</f>
        <v/>
      </c>
      <c r="K18" s="119">
        <f t="shared" si="0"/>
        <v>26200.000000000004</v>
      </c>
      <c r="L18" s="13" t="str">
        <f t="array" ref="L18">IF(AND(K18=MAX(K$7:K$37), L$7:L17&lt;&gt;"+"), "+", IF(AND(K18=MIN(K$7:K$37), L$7:L17&lt;&gt;"-"), "-", ""))</f>
        <v/>
      </c>
      <c r="M18" s="34">
        <f>IF(ISBLANK('CWMS Data'!$AS20), "", 'CWMS Data'!$AS20)</f>
        <v>27000.000000000004</v>
      </c>
      <c r="N18" s="13" t="str">
        <f t="array" ref="N18">IF(AND(M18=MAX(M$7:M$37), N$7:N17&lt;&gt;"+"), "+", IF(AND(M18=MIN(M$7:M$37), N$7:N17&lt;&gt;"-"), "-", ""))</f>
        <v/>
      </c>
      <c r="O18" s="35"/>
      <c r="P18" s="35"/>
      <c r="Q18" s="35"/>
    </row>
    <row r="19" spans="1:17" ht="15" x14ac:dyDescent="0.25">
      <c r="A19" s="30">
        <f>IF(ISBLANK('CWMS Data'!$B21), "", 'CWMS Data'!$B21)</f>
        <v>44056</v>
      </c>
      <c r="B19" s="31">
        <f>IF(ISBLANK('CWMS Data'!$AV21), "", 'CWMS Data'!$AV21)</f>
        <v>1357.14</v>
      </c>
      <c r="C19" s="13" t="str">
        <f t="array" ref="C19">IF(AND(B19=MAX(B$7:B$37), C$7:C18&lt;&gt;"+"), "+", IF(AND(B19=MIN(B$7:B$37), C$7:C18&lt;&gt;"-"), "-", ""))</f>
        <v/>
      </c>
      <c r="D19" s="32">
        <f>IF(ISBLANK('CWMS Data'!$AO21), "", 'CWMS Data'!$AO21)</f>
        <v>0</v>
      </c>
      <c r="E19" s="129">
        <f>IF(ISBLANK('CWMS Data'!$AN21), "", 'CWMS Data'!$AN21)</f>
        <v>800</v>
      </c>
      <c r="F19" s="13" t="str">
        <f t="array" ref="F19">IF(AND(E19=MAX(E$7:E$37), F$7:F18&lt;&gt;"+"), "+", IF(AND(E19=MIN(E$7:E$37), F$7:F18&lt;&gt;"-"), "-", ""))</f>
        <v/>
      </c>
      <c r="G19" s="34">
        <f>IF(ISBLANK('CWMS Data'!$AP21), "", 'CWMS Data'!$AP21)</f>
        <v>26200.000000000004</v>
      </c>
      <c r="H19" s="14" t="str">
        <f t="array" ref="H19">IF(AND(G19=MAX(G$7:G$37), H$7:H18&lt;&gt;"+"), "+", IF(AND(G19=MIN(G$7:G$37), H$7:H18&lt;&gt;"-"), "-", ""))</f>
        <v/>
      </c>
      <c r="I19" s="108">
        <f>IF(ISBLANK('CWMS Data'!$AQ21), "", 'CWMS Data'!$AQ21)</f>
        <v>0</v>
      </c>
      <c r="J19" s="14" t="str">
        <f t="array" ref="J19">IF(AND(I19=MAX(I$7:I$37), J$7:J18&lt;&gt;"+"), "+", IF(AND(I19=MIN(I$7:I$37), J$7:J18&lt;&gt;"-"), "-", ""))</f>
        <v/>
      </c>
      <c r="K19" s="119">
        <f t="shared" si="0"/>
        <v>26200.000000000004</v>
      </c>
      <c r="L19" s="13" t="str">
        <f t="array" ref="L19">IF(AND(K19=MAX(K$7:K$37), L$7:L18&lt;&gt;"+"), "+", IF(AND(K19=MIN(K$7:K$37), L$7:L18&lt;&gt;"-"), "-", ""))</f>
        <v/>
      </c>
      <c r="M19" s="34">
        <f>IF(ISBLANK('CWMS Data'!$AS21), "", 'CWMS Data'!$AS21)</f>
        <v>29000.000000000004</v>
      </c>
      <c r="N19" s="13" t="str">
        <f t="array" ref="N19">IF(AND(M19=MAX(M$7:M$37), N$7:N18&lt;&gt;"+"), "+", IF(AND(M19=MIN(M$7:M$37), N$7:N18&lt;&gt;"-"), "-", ""))</f>
        <v/>
      </c>
      <c r="O19" s="35"/>
      <c r="P19" s="35"/>
      <c r="Q19" s="35"/>
    </row>
    <row r="20" spans="1:17" ht="15" x14ac:dyDescent="0.25">
      <c r="A20" s="30">
        <f>IF(ISBLANK('CWMS Data'!$B22), "", 'CWMS Data'!$B22)</f>
        <v>44057</v>
      </c>
      <c r="B20" s="31">
        <f>IF(ISBLANK('CWMS Data'!$AV22), "", 'CWMS Data'!$AV22)</f>
        <v>1357.3</v>
      </c>
      <c r="C20" s="13" t="str">
        <f t="array" ref="C20">IF(AND(B20=MAX(B$7:B$37), C$7:C19&lt;&gt;"+"), "+", IF(AND(B20=MIN(B$7:B$37), C$7:C19&lt;&gt;"-"), "-", ""))</f>
        <v/>
      </c>
      <c r="D20" s="32">
        <f>IF(ISBLANK('CWMS Data'!$AO22), "", 'CWMS Data'!$AO22)</f>
        <v>0</v>
      </c>
      <c r="E20" s="129">
        <f>IF(ISBLANK('CWMS Data'!$AN22), "", 'CWMS Data'!$AN22)</f>
        <v>800</v>
      </c>
      <c r="F20" s="13" t="str">
        <f t="array" ref="F20">IF(AND(E20=MAX(E$7:E$37), F$7:F19&lt;&gt;"+"), "+", IF(AND(E20=MIN(E$7:E$37), F$7:F19&lt;&gt;"-"), "-", ""))</f>
        <v/>
      </c>
      <c r="G20" s="34">
        <f>IF(ISBLANK('CWMS Data'!$AP22), "", 'CWMS Data'!$AP22)</f>
        <v>26100.000000000004</v>
      </c>
      <c r="H20" s="14" t="str">
        <f t="array" ref="H20">IF(AND(G20=MAX(G$7:G$37), H$7:H19&lt;&gt;"+"), "+", IF(AND(G20=MIN(G$7:G$37), H$7:H19&lt;&gt;"-"), "-", ""))</f>
        <v/>
      </c>
      <c r="I20" s="108">
        <f>IF(ISBLANK('CWMS Data'!$AQ22), "", 'CWMS Data'!$AQ22)</f>
        <v>0</v>
      </c>
      <c r="J20" s="14" t="str">
        <f t="array" ref="J20">IF(AND(I20=MAX(I$7:I$37), J$7:J19&lt;&gt;"+"), "+", IF(AND(I20=MIN(I$7:I$37), J$7:J19&lt;&gt;"-"), "-", ""))</f>
        <v/>
      </c>
      <c r="K20" s="119">
        <f t="shared" si="0"/>
        <v>26100.000000000004</v>
      </c>
      <c r="L20" s="13" t="str">
        <f t="array" ref="L20">IF(AND(K20=MAX(K$7:K$37), L$7:L19&lt;&gt;"+"), "+", IF(AND(K20=MIN(K$7:K$37), L$7:L19&lt;&gt;"-"), "-", ""))</f>
        <v/>
      </c>
      <c r="M20" s="34">
        <f>IF(ISBLANK('CWMS Data'!$AS22), "", 'CWMS Data'!$AS22)</f>
        <v>31000</v>
      </c>
      <c r="N20" s="13" t="str">
        <f t="array" ref="N20">IF(AND(M20=MAX(M$7:M$37), N$7:N19&lt;&gt;"+"), "+", IF(AND(M20=MIN(M$7:M$37), N$7:N19&lt;&gt;"-"), "-", ""))</f>
        <v/>
      </c>
      <c r="O20" s="35"/>
      <c r="P20" s="35"/>
      <c r="Q20" s="35"/>
    </row>
    <row r="21" spans="1:17" ht="15" x14ac:dyDescent="0.25">
      <c r="A21" s="36">
        <f>IF(ISBLANK('CWMS Data'!$B23), "", 'CWMS Data'!$B23)</f>
        <v>44058</v>
      </c>
      <c r="B21" s="31">
        <f>IF(ISBLANK('CWMS Data'!$AV23), "", 'CWMS Data'!$AV23)</f>
        <v>1357.0999999999997</v>
      </c>
      <c r="C21" s="13" t="str">
        <f t="array" ref="C21">IF(AND(B21=MAX(B$7:B$37), C$7:C20&lt;&gt;"+"), "+", IF(AND(B21=MIN(B$7:B$37), C$7:C20&lt;&gt;"-"), "-", ""))</f>
        <v/>
      </c>
      <c r="D21" s="32">
        <f>IF(ISBLANK('CWMS Data'!$AO23), "", 'CWMS Data'!$AO23)</f>
        <v>0</v>
      </c>
      <c r="E21" s="129">
        <f>IF(ISBLANK('CWMS Data'!$AN23), "", 'CWMS Data'!$AN23)</f>
        <v>800</v>
      </c>
      <c r="F21" s="13" t="str">
        <f t="array" ref="F21">IF(AND(E21=MAX(E$7:E$37), F$7:F20&lt;&gt;"+"), "+", IF(AND(E21=MIN(E$7:E$37), F$7:F20&lt;&gt;"-"), "-", ""))</f>
        <v/>
      </c>
      <c r="G21" s="34">
        <f>IF(ISBLANK('CWMS Data'!$AP23), "", 'CWMS Data'!$AP23)</f>
        <v>27000.000000000004</v>
      </c>
      <c r="H21" s="14" t="str">
        <f t="array" ref="H21">IF(AND(G21=MAX(G$7:G$37), H$7:H20&lt;&gt;"+"), "+", IF(AND(G21=MIN(G$7:G$37), H$7:H20&lt;&gt;"-"), "-", ""))</f>
        <v/>
      </c>
      <c r="I21" s="108">
        <f>IF(ISBLANK('CWMS Data'!$AQ23), "", 'CWMS Data'!$AQ23)</f>
        <v>0</v>
      </c>
      <c r="J21" s="14" t="str">
        <f t="array" ref="J21">IF(AND(I21=MAX(I$7:I$37), J$7:J20&lt;&gt;"+"), "+", IF(AND(I21=MIN(I$7:I$37), J$7:J20&lt;&gt;"-"), "-", ""))</f>
        <v/>
      </c>
      <c r="K21" s="119">
        <f t="shared" si="0"/>
        <v>27000.000000000004</v>
      </c>
      <c r="L21" s="13" t="str">
        <f t="array" ref="L21">IF(AND(K21=MAX(K$7:K$37), L$7:L20&lt;&gt;"+"), "+", IF(AND(K21=MIN(K$7:K$37), L$7:L20&lt;&gt;"-"), "-", ""))</f>
        <v/>
      </c>
      <c r="M21" s="34">
        <f>IF(ISBLANK('CWMS Data'!$AS23), "", 'CWMS Data'!$AS23)</f>
        <v>21000</v>
      </c>
      <c r="N21" s="13" t="str">
        <f t="array" ref="N21">IF(AND(M21=MAX(M$7:M$37), N$7:N20&lt;&gt;"+"), "+", IF(AND(M21=MIN(M$7:M$37), N$7:N20&lt;&gt;"-"), "-", ""))</f>
        <v/>
      </c>
      <c r="O21" s="35"/>
      <c r="P21" s="35"/>
      <c r="Q21" s="35"/>
    </row>
    <row r="22" spans="1:17" ht="15" x14ac:dyDescent="0.25">
      <c r="A22" s="30">
        <f>IF(ISBLANK('CWMS Data'!$B24), "", 'CWMS Data'!$B24)</f>
        <v>44059</v>
      </c>
      <c r="B22" s="31">
        <f>IF(ISBLANK('CWMS Data'!$AV24), "", 'CWMS Data'!$AV24)</f>
        <v>1356.82</v>
      </c>
      <c r="C22" s="13" t="str">
        <f t="array" ref="C22">IF(AND(B22=MAX(B$7:B$37), C$7:C21&lt;&gt;"+"), "+", IF(AND(B22=MIN(B$7:B$37), C$7:C21&lt;&gt;"-"), "-", ""))</f>
        <v/>
      </c>
      <c r="D22" s="32">
        <f>IF(ISBLANK('CWMS Data'!$AO24), "", 'CWMS Data'!$AO24)</f>
        <v>0</v>
      </c>
      <c r="E22" s="108">
        <f>IF(ISBLANK('CWMS Data'!$AN24), "", 'CWMS Data'!$AN24)</f>
        <v>800</v>
      </c>
      <c r="F22" s="13" t="str">
        <f t="array" ref="F22">IF(AND(E22=MAX(E$7:E$37), F$7:F21&lt;&gt;"+"), "+", IF(AND(E22=MIN(E$7:E$37), F$7:F21&lt;&gt;"-"), "-", ""))</f>
        <v/>
      </c>
      <c r="G22" s="34">
        <f>IF(ISBLANK('CWMS Data'!$AP24), "", 'CWMS Data'!$AP24)</f>
        <v>27300.000000000004</v>
      </c>
      <c r="H22" s="14" t="str">
        <f t="array" ref="H22">IF(AND(G22=MAX(G$7:G$37), H$7:H21&lt;&gt;"+"), "+", IF(AND(G22=MIN(G$7:G$37), H$7:H21&lt;&gt;"-"), "-", ""))</f>
        <v/>
      </c>
      <c r="I22" s="108">
        <f>IF(ISBLANK('CWMS Data'!$AQ24), "", 'CWMS Data'!$AQ24)</f>
        <v>0</v>
      </c>
      <c r="J22" s="14" t="str">
        <f t="array" ref="J22">IF(AND(I22=MAX(I$7:I$37), J$7:J21&lt;&gt;"+"), "+", IF(AND(I22=MIN(I$7:I$37), J$7:J21&lt;&gt;"-"), "-", ""))</f>
        <v/>
      </c>
      <c r="K22" s="119">
        <f t="shared" si="0"/>
        <v>27300.000000000004</v>
      </c>
      <c r="L22" s="13" t="str">
        <f t="array" ref="L22">IF(AND(K22=MAX(K$7:K$37), L$7:L21&lt;&gt;"+"), "+", IF(AND(K22=MIN(K$7:K$37), L$7:L21&lt;&gt;"-"), "-", ""))</f>
        <v/>
      </c>
      <c r="M22" s="34">
        <f>IF(ISBLANK('CWMS Data'!$AS24), "", 'CWMS Data'!$AS24)</f>
        <v>16000.000000000002</v>
      </c>
      <c r="N22" s="13" t="str">
        <f t="array" ref="N22">IF(AND(M22=MAX(M$7:M$37), N$7:N21&lt;&gt;"+"), "+", IF(AND(M22=MIN(M$7:M$37), N$7:N21&lt;&gt;"-"), "-", ""))</f>
        <v/>
      </c>
      <c r="O22" s="35"/>
      <c r="P22" s="35"/>
      <c r="Q22" s="35"/>
    </row>
    <row r="23" spans="1:17" ht="15" x14ac:dyDescent="0.25">
      <c r="A23" s="30">
        <f>IF(ISBLANK('CWMS Data'!$B25), "", 'CWMS Data'!$B25)</f>
        <v>44060</v>
      </c>
      <c r="B23" s="31">
        <f>IF(ISBLANK('CWMS Data'!$AV25), "", 'CWMS Data'!$AV25)</f>
        <v>1356.7</v>
      </c>
      <c r="C23" s="13" t="str">
        <f t="array" ref="C23">IF(AND(B23=MAX(B$7:B$37), C$7:C22&lt;&gt;"+"), "+", IF(AND(B23=MIN(B$7:B$37), C$7:C22&lt;&gt;"-"), "-", ""))</f>
        <v/>
      </c>
      <c r="D23" s="32">
        <f>IF(ISBLANK('CWMS Data'!$AO25), "", 'CWMS Data'!$AO25)</f>
        <v>0</v>
      </c>
      <c r="E23" s="108">
        <f>IF(ISBLANK('CWMS Data'!$AN25), "", 'CWMS Data'!$AN25)</f>
        <v>800</v>
      </c>
      <c r="F23" s="13" t="str">
        <f t="array" ref="F23">IF(AND(E23=MAX(E$7:E$37), F$7:F22&lt;&gt;"+"), "+", IF(AND(E23=MIN(E$7:E$37), F$7:F22&lt;&gt;"-"), "-", ""))</f>
        <v/>
      </c>
      <c r="G23" s="34">
        <f>IF(ISBLANK('CWMS Data'!$AP25), "", 'CWMS Data'!$AP25)</f>
        <v>27400</v>
      </c>
      <c r="H23" s="14" t="str">
        <f t="array" ref="H23">IF(AND(G23=MAX(G$7:G$37), H$7:H22&lt;&gt;"+"), "+", IF(AND(G23=MIN(G$7:G$37), H$7:H22&lt;&gt;"-"), "-", ""))</f>
        <v/>
      </c>
      <c r="I23" s="108">
        <f>IF(ISBLANK('CWMS Data'!$AQ25), "", 'CWMS Data'!$AQ25)</f>
        <v>0</v>
      </c>
      <c r="J23" s="14" t="str">
        <f t="array" ref="J23">IF(AND(I23=MAX(I$7:I$37), J$7:J22&lt;&gt;"+"), "+", IF(AND(I23=MIN(I$7:I$37), J$7:J22&lt;&gt;"-"), "-", ""))</f>
        <v/>
      </c>
      <c r="K23" s="119">
        <f t="shared" si="0"/>
        <v>27400</v>
      </c>
      <c r="L23" s="13" t="str">
        <f t="array" ref="L23">IF(AND(K23=MAX(K$7:K$37), L$7:L22&lt;&gt;"+"), "+", IF(AND(K23=MIN(K$7:K$37), L$7:L22&lt;&gt;"-"), "-", ""))</f>
        <v/>
      </c>
      <c r="M23" s="34">
        <f>IF(ISBLANK('CWMS Data'!$AS25), "", 'CWMS Data'!$AS25)</f>
        <v>24000</v>
      </c>
      <c r="N23" s="13" t="str">
        <f t="array" ref="N23">IF(AND(M23=MAX(M$7:M$37), N$7:N22&lt;&gt;"+"), "+", IF(AND(M23=MIN(M$7:M$37), N$7:N22&lt;&gt;"-"), "-", ""))</f>
        <v/>
      </c>
      <c r="O23" s="35"/>
      <c r="P23" s="35"/>
      <c r="Q23" s="35"/>
    </row>
    <row r="24" spans="1:17" ht="15" x14ac:dyDescent="0.25">
      <c r="A24" s="30">
        <f>IF(ISBLANK('CWMS Data'!$B26), "", 'CWMS Data'!$B26)</f>
        <v>44061</v>
      </c>
      <c r="B24" s="31">
        <f>IF(ISBLANK('CWMS Data'!$AV26), "", 'CWMS Data'!$AV26)</f>
        <v>1356.63</v>
      </c>
      <c r="C24" s="13" t="str">
        <f t="array" ref="C24">IF(AND(B24=MAX(B$7:B$37), C$7:C23&lt;&gt;"+"), "+", IF(AND(B24=MIN(B$7:B$37), C$7:C23&lt;&gt;"-"), "-", ""))</f>
        <v/>
      </c>
      <c r="D24" s="32">
        <f>IF(ISBLANK('CWMS Data'!$AO26), "", 'CWMS Data'!$AO26)</f>
        <v>0</v>
      </c>
      <c r="E24" s="146">
        <f>IF(ISBLANK('CWMS Data'!$AN26), "", 'CWMS Data'!$AN26)</f>
        <v>800</v>
      </c>
      <c r="F24" s="13" t="str">
        <f t="array" ref="F24">IF(AND(E24=MAX(E$7:E$37), F$7:F23&lt;&gt;"+"), "+", IF(AND(E24=MIN(E$7:E$37), F$7:F23&lt;&gt;"-"), "-", ""))</f>
        <v/>
      </c>
      <c r="G24" s="34">
        <f>IF(ISBLANK('CWMS Data'!$AP26), "", 'CWMS Data'!$AP26)</f>
        <v>27300.000000000004</v>
      </c>
      <c r="H24" s="14" t="str">
        <f t="array" ref="H24">IF(AND(G24=MAX(G$7:G$37), H$7:H23&lt;&gt;"+"), "+", IF(AND(G24=MIN(G$7:G$37), H$7:H23&lt;&gt;"-"), "-", ""))</f>
        <v/>
      </c>
      <c r="I24" s="108">
        <f>IF(ISBLANK('CWMS Data'!$AQ26), "", 'CWMS Data'!$AQ26)</f>
        <v>0</v>
      </c>
      <c r="J24" s="14" t="str">
        <f t="array" ref="J24">IF(AND(I24=MAX(I$7:I$37), J$7:J23&lt;&gt;"+"), "+", IF(AND(I24=MIN(I$7:I$37), J$7:J23&lt;&gt;"-"), "-", ""))</f>
        <v/>
      </c>
      <c r="K24" s="119">
        <f t="shared" si="0"/>
        <v>27300.000000000004</v>
      </c>
      <c r="L24" s="13" t="str">
        <f t="array" ref="L24">IF(AND(K24=MAX(K$7:K$37), L$7:L23&lt;&gt;"+"), "+", IF(AND(K24=MIN(K$7:K$37), L$7:L23&lt;&gt;"-"), "-", ""))</f>
        <v/>
      </c>
      <c r="M24" s="34">
        <f>IF(ISBLANK('CWMS Data'!$AS26), "", 'CWMS Data'!$AS26)</f>
        <v>25000.000000000004</v>
      </c>
      <c r="N24" s="13" t="str">
        <f t="array" ref="N24">IF(AND(M24=MAX(M$7:M$37), N$7:N23&lt;&gt;"+"), "+", IF(AND(M24=MIN(M$7:M$37), N$7:N23&lt;&gt;"-"), "-", ""))</f>
        <v/>
      </c>
      <c r="O24" s="35"/>
      <c r="P24" s="35"/>
      <c r="Q24" s="35"/>
    </row>
    <row r="25" spans="1:17" ht="15" x14ac:dyDescent="0.25">
      <c r="A25" s="30">
        <f>IF(ISBLANK('CWMS Data'!$B27), "", 'CWMS Data'!$B27)</f>
        <v>44062</v>
      </c>
      <c r="B25" s="31">
        <f>IF(ISBLANK('CWMS Data'!$AV27), "", 'CWMS Data'!$AV27)</f>
        <v>1356.61</v>
      </c>
      <c r="C25" s="13" t="str">
        <f t="array" ref="C25">IF(AND(B25=MAX(B$7:B$37), C$7:C24&lt;&gt;"+"), "+", IF(AND(B25=MIN(B$7:B$37), C$7:C24&lt;&gt;"-"), "-", ""))</f>
        <v/>
      </c>
      <c r="D25" s="32">
        <f>IF(ISBLANK('CWMS Data'!$AO27), "", 'CWMS Data'!$AO27)</f>
        <v>0</v>
      </c>
      <c r="E25" s="146">
        <f>IF(ISBLANK('CWMS Data'!$AN27), "", 'CWMS Data'!$AN27)</f>
        <v>800</v>
      </c>
      <c r="F25" s="13" t="str">
        <f t="array" ref="F25">IF(AND(E25=MAX(E$7:E$37), F$7:F24&lt;&gt;"+"), "+", IF(AND(E25=MIN(E$7:E$37), F$7:F24&lt;&gt;"-"), "-", ""))</f>
        <v/>
      </c>
      <c r="G25" s="34">
        <f>IF(ISBLANK('CWMS Data'!$AP27), "", 'CWMS Data'!$AP27)</f>
        <v>27900.000000000004</v>
      </c>
      <c r="H25" s="14" t="str">
        <f t="array" ref="H25">IF(AND(G25=MAX(G$7:G$37), H$7:H24&lt;&gt;"+"), "+", IF(AND(G25=MIN(G$7:G$37), H$7:H24&lt;&gt;"-"), "-", ""))</f>
        <v/>
      </c>
      <c r="I25" s="108">
        <f>IF(ISBLANK('CWMS Data'!$AQ27), "", 'CWMS Data'!$AQ27)</f>
        <v>0</v>
      </c>
      <c r="J25" s="14" t="str">
        <f t="array" ref="J25">IF(AND(I25=MAX(I$7:I$37), J$7:J24&lt;&gt;"+"), "+", IF(AND(I25=MIN(I$7:I$37), J$7:J24&lt;&gt;"-"), "-", ""))</f>
        <v/>
      </c>
      <c r="K25" s="119">
        <f t="shared" si="0"/>
        <v>27900.000000000004</v>
      </c>
      <c r="L25" s="13" t="str">
        <f t="array" ref="L25">IF(AND(K25=MAX(K$7:K$37), L$7:L24&lt;&gt;"+"), "+", IF(AND(K25=MIN(K$7:K$37), L$7:L24&lt;&gt;"-"), "-", ""))</f>
        <v/>
      </c>
      <c r="M25" s="34">
        <f>IF(ISBLANK('CWMS Data'!$AS27), "", 'CWMS Data'!$AS27)</f>
        <v>26000</v>
      </c>
      <c r="N25" s="13" t="str">
        <f t="array" ref="N25">IF(AND(M25=MAX(M$7:M$37), N$7:N24&lt;&gt;"+"), "+", IF(AND(M25=MIN(M$7:M$37), N$7:N24&lt;&gt;"-"), "-", ""))</f>
        <v/>
      </c>
      <c r="O25" s="35"/>
      <c r="P25" s="35"/>
      <c r="Q25" s="35"/>
    </row>
    <row r="26" spans="1:17" ht="15" x14ac:dyDescent="0.25">
      <c r="A26" s="36">
        <f>IF(ISBLANK('CWMS Data'!$B28), "", 'CWMS Data'!$B28)</f>
        <v>44063</v>
      </c>
      <c r="B26" s="31">
        <f>IF(ISBLANK('CWMS Data'!$AV28), "", 'CWMS Data'!$AV28)</f>
        <v>1356.6799999999998</v>
      </c>
      <c r="C26" s="13" t="str">
        <f t="array" ref="C26">IF(AND(B26=MAX(B$7:B$37), C$7:C25&lt;&gt;"+"), "+", IF(AND(B26=MIN(B$7:B$37), C$7:C25&lt;&gt;"-"), "-", ""))</f>
        <v/>
      </c>
      <c r="D26" s="32">
        <f>IF(ISBLANK('CWMS Data'!$AO28), "", 'CWMS Data'!$AO28)</f>
        <v>0</v>
      </c>
      <c r="E26" s="146">
        <f>IF(ISBLANK('CWMS Data'!$AN28), "", 'CWMS Data'!$AN28)</f>
        <v>800</v>
      </c>
      <c r="F26" s="13" t="str">
        <f t="array" ref="F26">IF(AND(E26=MAX(E$7:E$37), F$7:F25&lt;&gt;"+"), "+", IF(AND(E26=MIN(E$7:E$37), F$7:F25&lt;&gt;"-"), "-", ""))</f>
        <v/>
      </c>
      <c r="G26" s="34">
        <f>IF(ISBLANK('CWMS Data'!$AP28), "", 'CWMS Data'!$AP28)</f>
        <v>27800</v>
      </c>
      <c r="H26" s="14" t="str">
        <f t="array" ref="H26">IF(AND(G26=MAX(G$7:G$37), H$7:H25&lt;&gt;"+"), "+", IF(AND(G26=MIN(G$7:G$37), H$7:H25&lt;&gt;"-"), "-", ""))</f>
        <v/>
      </c>
      <c r="I26" s="108">
        <f>IF(ISBLANK('CWMS Data'!$AQ28), "", 'CWMS Data'!$AQ28)</f>
        <v>0</v>
      </c>
      <c r="J26" s="14" t="str">
        <f t="array" ref="J26">IF(AND(I26=MAX(I$7:I$37), J$7:J25&lt;&gt;"+"), "+", IF(AND(I26=MIN(I$7:I$37), J$7:J25&lt;&gt;"-"), "-", ""))</f>
        <v/>
      </c>
      <c r="K26" s="119">
        <f t="shared" si="0"/>
        <v>27800</v>
      </c>
      <c r="L26" s="13" t="str">
        <f t="array" ref="L26">IF(AND(K26=MAX(K$7:K$37), L$7:L25&lt;&gt;"+"), "+", IF(AND(K26=MIN(K$7:K$37), L$7:L25&lt;&gt;"-"), "-", ""))</f>
        <v/>
      </c>
      <c r="M26" s="34">
        <f>IF(ISBLANK('CWMS Data'!$AS28), "", 'CWMS Data'!$AS28)</f>
        <v>29000.000000000004</v>
      </c>
      <c r="N26" s="13" t="str">
        <f t="array" ref="N26">IF(AND(M26=MAX(M$7:M$37), N$7:N25&lt;&gt;"+"), "+", IF(AND(M26=MIN(M$7:M$37), N$7:N25&lt;&gt;"-"), "-", ""))</f>
        <v/>
      </c>
      <c r="O26" s="35"/>
      <c r="P26" s="35"/>
      <c r="Q26" s="35"/>
    </row>
    <row r="27" spans="1:17" ht="15" x14ac:dyDescent="0.25">
      <c r="A27" s="30">
        <f>IF(ISBLANK('CWMS Data'!$B29), "", 'CWMS Data'!$B29)</f>
        <v>44064</v>
      </c>
      <c r="B27" s="31">
        <f>IF(ISBLANK('CWMS Data'!$AV29), "", 'CWMS Data'!$AV29)</f>
        <v>1356.74</v>
      </c>
      <c r="C27" s="13" t="str">
        <f t="array" ref="C27">IF(AND(B27=MAX(B$7:B$37), C$7:C26&lt;&gt;"+"), "+", IF(AND(B27=MIN(B$7:B$37), C$7:C26&lt;&gt;"-"), "-", ""))</f>
        <v/>
      </c>
      <c r="D27" s="32">
        <f>IF(ISBLANK('CWMS Data'!$AO29), "", 'CWMS Data'!$AO29)</f>
        <v>0</v>
      </c>
      <c r="E27" s="146">
        <f>IF(ISBLANK('CWMS Data'!$AN29), "", 'CWMS Data'!$AN29)</f>
        <v>800</v>
      </c>
      <c r="F27" s="13" t="str">
        <f t="array" ref="F27">IF(AND(E27=MAX(E$7:E$37), F$7:F26&lt;&gt;"+"), "+", IF(AND(E27=MIN(E$7:E$37), F$7:F26&lt;&gt;"-"), "-", ""))</f>
        <v/>
      </c>
      <c r="G27" s="34">
        <f>IF(ISBLANK('CWMS Data'!$AP29), "", 'CWMS Data'!$AP29)</f>
        <v>27800</v>
      </c>
      <c r="H27" s="14" t="str">
        <f t="array" ref="H27">IF(AND(G27=MAX(G$7:G$37), H$7:H26&lt;&gt;"+"), "+", IF(AND(G27=MIN(G$7:G$37), H$7:H26&lt;&gt;"-"), "-", ""))</f>
        <v/>
      </c>
      <c r="I27" s="108">
        <f>IF(ISBLANK('CWMS Data'!$AQ29), "", 'CWMS Data'!$AQ29)</f>
        <v>0</v>
      </c>
      <c r="J27" s="14" t="str">
        <f t="array" ref="J27">IF(AND(I27=MAX(I$7:I$37), J$7:J26&lt;&gt;"+"), "+", IF(AND(I27=MIN(I$7:I$37), J$7:J26&lt;&gt;"-"), "-", ""))</f>
        <v/>
      </c>
      <c r="K27" s="119">
        <f t="shared" si="0"/>
        <v>27800</v>
      </c>
      <c r="L27" s="13" t="str">
        <f t="array" ref="L27">IF(AND(K27=MAX(K$7:K$37), L$7:L26&lt;&gt;"+"), "+", IF(AND(K27=MIN(K$7:K$37), L$7:L26&lt;&gt;"-"), "-", ""))</f>
        <v/>
      </c>
      <c r="M27" s="34">
        <f>IF(ISBLANK('CWMS Data'!$AS29), "", 'CWMS Data'!$AS29)</f>
        <v>31000</v>
      </c>
      <c r="N27" s="13" t="str">
        <f t="array" ref="N27">IF(AND(M27=MAX(M$7:M$37), N$7:N26&lt;&gt;"+"), "+", IF(AND(M27=MIN(M$7:M$37), N$7:N26&lt;&gt;"-"), "-", ""))</f>
        <v/>
      </c>
      <c r="O27" s="35"/>
      <c r="P27" s="35"/>
      <c r="Q27" s="35"/>
    </row>
    <row r="28" spans="1:17" ht="15" x14ac:dyDescent="0.25">
      <c r="A28" s="30">
        <f>IF(ISBLANK('CWMS Data'!$B30), "", 'CWMS Data'!$B30)</f>
        <v>44065</v>
      </c>
      <c r="B28" s="31">
        <f>IF(ISBLANK('CWMS Data'!$AV30), "", 'CWMS Data'!$AV30)</f>
        <v>1356.41</v>
      </c>
      <c r="C28" s="13" t="str">
        <f t="array" ref="C28">IF(AND(B28=MAX(B$7:B$37), C$7:C27&lt;&gt;"+"), "+", IF(AND(B28=MIN(B$7:B$37), C$7:C27&lt;&gt;"-"), "-", ""))</f>
        <v/>
      </c>
      <c r="D28" s="32">
        <f>IF(ISBLANK('CWMS Data'!$AO30), "", 'CWMS Data'!$AO30)</f>
        <v>0</v>
      </c>
      <c r="E28" s="143">
        <f>IF(ISBLANK('CWMS Data'!$AN30), "", 'CWMS Data'!$AN30)</f>
        <v>800</v>
      </c>
      <c r="F28" s="13" t="str">
        <f t="array" ref="F28">IF(AND(E28=MAX(E$7:E$37), F$7:F27&lt;&gt;"+"), "+", IF(AND(E28=MIN(E$7:E$37), F$7:F27&lt;&gt;"-"), "-", ""))</f>
        <v/>
      </c>
      <c r="G28" s="34">
        <f>IF(ISBLANK('CWMS Data'!$AP30), "", 'CWMS Data'!$AP30)</f>
        <v>28000.000000000004</v>
      </c>
      <c r="H28" s="14" t="str">
        <f t="array" ref="H28">IF(AND(G28=MAX(G$7:G$37), H$7:H27&lt;&gt;"+"), "+", IF(AND(G28=MIN(G$7:G$37), H$7:H27&lt;&gt;"-"), "-", ""))</f>
        <v/>
      </c>
      <c r="I28" s="108">
        <f>IF(ISBLANK('CWMS Data'!$AQ30), "", 'CWMS Data'!$AQ30)</f>
        <v>0</v>
      </c>
      <c r="J28" s="14" t="str">
        <f t="array" ref="J28">IF(AND(I28=MAX(I$7:I$37), J$7:J27&lt;&gt;"+"), "+", IF(AND(I28=MIN(I$7:I$37), J$7:J27&lt;&gt;"-"), "-", ""))</f>
        <v/>
      </c>
      <c r="K28" s="119">
        <f t="shared" si="0"/>
        <v>28000.000000000004</v>
      </c>
      <c r="L28" s="13" t="str">
        <f t="array" ref="L28">IF(AND(K28=MAX(K$7:K$37), L$7:L27&lt;&gt;"+"), "+", IF(AND(K28=MIN(K$7:K$37), L$7:L27&lt;&gt;"-"), "-", ""))</f>
        <v/>
      </c>
      <c r="M28" s="34">
        <f>IF(ISBLANK('CWMS Data'!$AS30), "", 'CWMS Data'!$AS30)</f>
        <v>18000</v>
      </c>
      <c r="N28" s="13" t="str">
        <f t="array" ref="N28">IF(AND(M28=MAX(M$7:M$37), N$7:N27&lt;&gt;"+"), "+", IF(AND(M28=MIN(M$7:M$37), N$7:N27&lt;&gt;"-"), "-", ""))</f>
        <v/>
      </c>
      <c r="O28" s="35"/>
      <c r="P28" s="35"/>
      <c r="Q28" s="35"/>
    </row>
    <row r="29" spans="1:17" ht="15" x14ac:dyDescent="0.25">
      <c r="A29" s="30">
        <f>IF(ISBLANK('CWMS Data'!$B31), "", 'CWMS Data'!$B31)</f>
        <v>44066</v>
      </c>
      <c r="B29" s="31">
        <f>IF(ISBLANK('CWMS Data'!$AV31), "", 'CWMS Data'!$AV31)</f>
        <v>1356.02</v>
      </c>
      <c r="C29" s="13" t="str">
        <f t="array" ref="C29">IF(AND(B29=MAX(B$7:B$37), C$7:C28&lt;&gt;"+"), "+", IF(AND(B29=MIN(B$7:B$37), C$7:C28&lt;&gt;"-"), "-", ""))</f>
        <v/>
      </c>
      <c r="D29" s="32">
        <f>IF(ISBLANK('CWMS Data'!$AO31), "", 'CWMS Data'!$AO31)</f>
        <v>0</v>
      </c>
      <c r="E29" s="144">
        <f>IF(ISBLANK('CWMS Data'!$AN31), "", 'CWMS Data'!$AN31)</f>
        <v>700</v>
      </c>
      <c r="F29" s="13" t="str">
        <f t="array" ref="F29">IF(AND(E29=MAX(E$7:E$37), F$7:F28&lt;&gt;"+"), "+", IF(AND(E29=MIN(E$7:E$37), F$7:F28&lt;&gt;"-"), "-", ""))</f>
        <v/>
      </c>
      <c r="G29" s="34">
        <f>IF(ISBLANK('CWMS Data'!$AP31), "", 'CWMS Data'!$AP31)</f>
        <v>28300</v>
      </c>
      <c r="H29" s="14" t="str">
        <f t="array" ref="H29">IF(AND(G29=MAX(G$7:G$37), H$7:H28&lt;&gt;"+"), "+", IF(AND(G29=MIN(G$7:G$37), H$7:H28&lt;&gt;"-"), "-", ""))</f>
        <v/>
      </c>
      <c r="I29" s="108">
        <f>IF(ISBLANK('CWMS Data'!$AQ31), "", 'CWMS Data'!$AQ31)</f>
        <v>0</v>
      </c>
      <c r="J29" s="14" t="str">
        <f t="array" ref="J29">IF(AND(I29=MAX(I$7:I$37), J$7:J28&lt;&gt;"+"), "+", IF(AND(I29=MIN(I$7:I$37), J$7:J28&lt;&gt;"-"), "-", ""))</f>
        <v/>
      </c>
      <c r="K29" s="119">
        <f t="shared" si="0"/>
        <v>28300</v>
      </c>
      <c r="L29" s="13" t="str">
        <f t="array" ref="L29">IF(AND(K29=MAX(K$7:K$37), L$7:L28&lt;&gt;"+"), "+", IF(AND(K29=MIN(K$7:K$37), L$7:L28&lt;&gt;"-"), "-", ""))</f>
        <v/>
      </c>
      <c r="M29" s="34">
        <v>13000</v>
      </c>
      <c r="N29" s="13" t="str">
        <f t="array" ref="N29">IF(AND(M29=MAX(M$7:M$37), N$7:N28&lt;&gt;"+"), "+", IF(AND(M29=MIN(M$7:M$37), N$7:N28&lt;&gt;"-"), "-", ""))</f>
        <v>-</v>
      </c>
      <c r="O29" s="35"/>
      <c r="P29" s="35"/>
      <c r="Q29" s="35"/>
    </row>
    <row r="30" spans="1:17" ht="15" x14ac:dyDescent="0.25">
      <c r="A30" s="30">
        <f>IF(ISBLANK('CWMS Data'!$B32), "", 'CWMS Data'!$B32)</f>
        <v>44067</v>
      </c>
      <c r="B30" s="31">
        <f>IF(ISBLANK('CWMS Data'!$AV32), "", 'CWMS Data'!$AV32)</f>
        <v>1355.88</v>
      </c>
      <c r="C30" s="13" t="str">
        <f t="array" ref="C30">IF(AND(B30=MAX(B$7:B$37), C$7:C29&lt;&gt;"+"), "+", IF(AND(B30=MIN(B$7:B$37), C$7:C29&lt;&gt;"-"), "-", ""))</f>
        <v/>
      </c>
      <c r="D30" s="32">
        <f>IF(ISBLANK('CWMS Data'!$AO32), "", 'CWMS Data'!$AO32)</f>
        <v>0</v>
      </c>
      <c r="E30" s="144">
        <f>IF(ISBLANK('CWMS Data'!$AN32), "", 'CWMS Data'!$AN32)</f>
        <v>700</v>
      </c>
      <c r="F30" s="13" t="str">
        <f t="array" ref="F30">IF(AND(E30=MAX(E$7:E$37), F$7:F29&lt;&gt;"+"), "+", IF(AND(E30=MIN(E$7:E$37), F$7:F29&lt;&gt;"-"), "-", ""))</f>
        <v/>
      </c>
      <c r="G30" s="34">
        <f>IF(ISBLANK('CWMS Data'!$AP32), "", 'CWMS Data'!$AP32)</f>
        <v>28300</v>
      </c>
      <c r="H30" s="14" t="str">
        <f t="array" ref="H30">IF(AND(G30=MAX(G$7:G$37), H$7:H29&lt;&gt;"+"), "+", IF(AND(G30=MIN(G$7:G$37), H$7:H29&lt;&gt;"-"), "-", ""))</f>
        <v/>
      </c>
      <c r="I30" s="108">
        <f>IF(ISBLANK('CWMS Data'!$AQ32), "", 'CWMS Data'!$AQ32)</f>
        <v>0</v>
      </c>
      <c r="J30" s="14" t="str">
        <f t="array" ref="J30">IF(AND(I30=MAX(I$7:I$37), J$7:J29&lt;&gt;"+"), "+", IF(AND(I30=MIN(I$7:I$37), J$7:J29&lt;&gt;"-"), "-", ""))</f>
        <v/>
      </c>
      <c r="K30" s="119">
        <f t="shared" si="0"/>
        <v>28300</v>
      </c>
      <c r="L30" s="13" t="str">
        <f t="array" ref="L30">IF(AND(K30=MAX(K$7:K$37), L$7:L29&lt;&gt;"+"), "+", IF(AND(K30=MIN(K$7:K$37), L$7:L29&lt;&gt;"-"), "-", ""))</f>
        <v/>
      </c>
      <c r="M30" s="34">
        <f>IF(ISBLANK('CWMS Data'!$AS32), "", 'CWMS Data'!$AS32)</f>
        <v>23000.000000000004</v>
      </c>
      <c r="N30" s="13" t="str">
        <f t="array" ref="N30">IF(AND(M30=MAX(M$7:M$37), N$7:N29&lt;&gt;"+"), "+", IF(AND(M30=MIN(M$7:M$37), N$7:N29&lt;&gt;"-"), "-", ""))</f>
        <v/>
      </c>
      <c r="O30" s="35"/>
      <c r="P30" s="35"/>
      <c r="Q30" s="35"/>
    </row>
    <row r="31" spans="1:17" ht="15" x14ac:dyDescent="0.25">
      <c r="A31" s="36">
        <f>IF(ISBLANK('CWMS Data'!$B33), "", 'CWMS Data'!$B33)</f>
        <v>44068</v>
      </c>
      <c r="B31" s="31">
        <f>IF(ISBLANK('CWMS Data'!$AV33), "", 'CWMS Data'!$AV33)</f>
        <v>1355.7099999999998</v>
      </c>
      <c r="C31" s="13" t="str">
        <f t="array" ref="C31">IF(AND(B31=MAX(B$7:B$37), C$7:C30&lt;&gt;"+"), "+", IF(AND(B31=MIN(B$7:B$37), C$7:C30&lt;&gt;"-"), "-", ""))</f>
        <v/>
      </c>
      <c r="D31" s="32">
        <f>IF(ISBLANK('CWMS Data'!$AO33), "", 'CWMS Data'!$AO33)</f>
        <v>0</v>
      </c>
      <c r="E31" s="144">
        <f>IF(ISBLANK('CWMS Data'!$AN33), "", 'CWMS Data'!$AN33)</f>
        <v>700</v>
      </c>
      <c r="F31" s="13" t="str">
        <f t="array" ref="F31">IF(AND(E31=MAX(E$7:E$37), F$7:F30&lt;&gt;"+"), "+", IF(AND(E31=MIN(E$7:E$37), F$7:F30&lt;&gt;"-"), "-", ""))</f>
        <v/>
      </c>
      <c r="G31" s="34">
        <f>IF(ISBLANK('CWMS Data'!$AP33), "", 'CWMS Data'!$AP33)</f>
        <v>28200.000000000004</v>
      </c>
      <c r="H31" s="14" t="str">
        <f t="array" ref="H31">IF(AND(G31=MAX(G$7:G$37), H$7:H30&lt;&gt;"+"), "+", IF(AND(G31=MIN(G$7:G$37), H$7:H30&lt;&gt;"-"), "-", ""))</f>
        <v/>
      </c>
      <c r="I31" s="108">
        <f>IF(ISBLANK('CWMS Data'!$AQ33), "", 'CWMS Data'!$AQ33)</f>
        <v>0</v>
      </c>
      <c r="J31" s="14" t="str">
        <f t="array" ref="J31">IF(AND(I31=MAX(I$7:I$37), J$7:J30&lt;&gt;"+"), "+", IF(AND(I31=MIN(I$7:I$37), J$7:J30&lt;&gt;"-"), "-", ""))</f>
        <v/>
      </c>
      <c r="K31" s="119">
        <f t="shared" si="0"/>
        <v>28200.000000000004</v>
      </c>
      <c r="L31" s="13" t="str">
        <f t="array" ref="L31">IF(AND(K31=MAX(K$7:K$37), L$7:L30&lt;&gt;"+"), "+", IF(AND(K31=MIN(K$7:K$37), L$7:L30&lt;&gt;"-"), "-", ""))</f>
        <v/>
      </c>
      <c r="M31" s="34">
        <f>IF(ISBLANK('CWMS Data'!$AS33), "", 'CWMS Data'!$AS33)</f>
        <v>27000.000000000004</v>
      </c>
      <c r="N31" s="13" t="str">
        <f t="array" ref="N31">IF(AND(M31=MAX(M$7:M$37), N$7:N30&lt;&gt;"+"), "+", IF(AND(M31=MIN(M$7:M$37), N$7:N30&lt;&gt;"-"), "-", ""))</f>
        <v/>
      </c>
      <c r="O31" s="35"/>
      <c r="P31" s="35"/>
      <c r="Q31" s="35"/>
    </row>
    <row r="32" spans="1:17" ht="15" x14ac:dyDescent="0.25">
      <c r="A32" s="30">
        <f>IF(ISBLANK('CWMS Data'!$B34), "", 'CWMS Data'!$B34)</f>
        <v>44069</v>
      </c>
      <c r="B32" s="31">
        <f>IF(ISBLANK('CWMS Data'!$AV34), "", 'CWMS Data'!$AV34)</f>
        <v>1355.8</v>
      </c>
      <c r="C32" s="13" t="str">
        <f t="array" ref="C32">IF(AND(B32=MAX(B$7:B$37), C$7:C31&lt;&gt;"+"), "+", IF(AND(B32=MIN(B$7:B$37), C$7:C31&lt;&gt;"-"), "-", ""))</f>
        <v/>
      </c>
      <c r="D32" s="32">
        <f>IF(ISBLANK('CWMS Data'!$AO34), "", 'CWMS Data'!$AO34)</f>
        <v>0</v>
      </c>
      <c r="E32" s="144">
        <f>IF(ISBLANK('CWMS Data'!$AN34), "", 'CWMS Data'!$AN34)</f>
        <v>700</v>
      </c>
      <c r="F32" s="13" t="str">
        <f t="array" ref="F32">IF(AND(E32=MAX(E$7:E$37), F$7:F31&lt;&gt;"+"), "+", IF(AND(E32=MIN(E$7:E$37), F$7:F31&lt;&gt;"-"), "-", ""))</f>
        <v/>
      </c>
      <c r="G32" s="34">
        <f>IF(ISBLANK('CWMS Data'!$AP34), "", 'CWMS Data'!$AP34)</f>
        <v>28300</v>
      </c>
      <c r="H32" s="14" t="str">
        <f t="array" ref="H32">IF(AND(G32=MAX(G$7:G$37), H$7:H31&lt;&gt;"+"), "+", IF(AND(G32=MIN(G$7:G$37), H$7:H31&lt;&gt;"-"), "-", ""))</f>
        <v/>
      </c>
      <c r="I32" s="108">
        <f>IF(ISBLANK('CWMS Data'!$AQ34), "", 'CWMS Data'!$AQ34)</f>
        <v>0</v>
      </c>
      <c r="J32" s="14" t="str">
        <f t="array" ref="J32">IF(AND(I32=MAX(I$7:I$37), J$7:J31&lt;&gt;"+"), "+", IF(AND(I32=MIN(I$7:I$37), J$7:J31&lt;&gt;"-"), "-", ""))</f>
        <v/>
      </c>
      <c r="K32" s="119">
        <f t="shared" si="0"/>
        <v>28300</v>
      </c>
      <c r="L32" s="13" t="str">
        <f t="array" ref="L32">IF(AND(K32=MAX(K$7:K$37), L$7:L31&lt;&gt;"+"), "+", IF(AND(K32=MIN(K$7:K$37), L$7:L31&lt;&gt;"-"), "-", ""))</f>
        <v/>
      </c>
      <c r="M32" s="34">
        <f>IF(ISBLANK('CWMS Data'!$AS34), "", 'CWMS Data'!$AS34)</f>
        <v>27000.000000000004</v>
      </c>
      <c r="N32" s="13" t="str">
        <f t="array" ref="N32">IF(AND(M32=MAX(M$7:M$37), N$7:N31&lt;&gt;"+"), "+", IF(AND(M32=MIN(M$7:M$37), N$7:N31&lt;&gt;"-"), "-", ""))</f>
        <v/>
      </c>
      <c r="O32" s="35"/>
      <c r="P32" s="35"/>
      <c r="Q32" s="35"/>
    </row>
    <row r="33" spans="1:17" ht="15" x14ac:dyDescent="0.25">
      <c r="A33" s="30">
        <f>IF(ISBLANK('CWMS Data'!$B35), "", 'CWMS Data'!$B35)</f>
        <v>44070</v>
      </c>
      <c r="B33" s="31">
        <f>IF(ISBLANK('CWMS Data'!$AV35), "", 'CWMS Data'!$AV35)</f>
        <v>1355.82</v>
      </c>
      <c r="C33" s="13" t="str">
        <f t="array" ref="C33">IF(AND(B33=MAX(B$7:B$37), C$7:C32&lt;&gt;"+"), "+", IF(AND(B33=MIN(B$7:B$37), C$7:C32&lt;&gt;"-"), "-", ""))</f>
        <v/>
      </c>
      <c r="D33" s="32">
        <f>IF(ISBLANK('CWMS Data'!$AO35), "", 'CWMS Data'!$AO35)</f>
        <v>0</v>
      </c>
      <c r="E33" s="144">
        <f>IF(ISBLANK('CWMS Data'!$AN35), "", 'CWMS Data'!$AN35)</f>
        <v>700</v>
      </c>
      <c r="F33" s="13" t="str">
        <f t="array" ref="F33">IF(AND(E33=MAX(E$7:E$37), F$7:F32&lt;&gt;"+"), "+", IF(AND(E33=MIN(E$7:E$37), F$7:F32&lt;&gt;"-"), "-", ""))</f>
        <v/>
      </c>
      <c r="G33" s="34">
        <f>IF(ISBLANK('CWMS Data'!$AP35), "", 'CWMS Data'!$AP35)</f>
        <v>28300</v>
      </c>
      <c r="H33" s="14" t="str">
        <f t="array" ref="H33">IF(AND(G33=MAX(G$7:G$37), H$7:H32&lt;&gt;"+"), "+", IF(AND(G33=MIN(G$7:G$37), H$7:H32&lt;&gt;"-"), "-", ""))</f>
        <v/>
      </c>
      <c r="I33" s="108">
        <f>IF(ISBLANK('CWMS Data'!$AQ35), "", 'CWMS Data'!$AQ35)</f>
        <v>0</v>
      </c>
      <c r="J33" s="14" t="str">
        <f t="array" ref="J33">IF(AND(I33=MAX(I$7:I$37), J$7:J32&lt;&gt;"+"), "+", IF(AND(I33=MIN(I$7:I$37), J$7:J32&lt;&gt;"-"), "-", ""))</f>
        <v/>
      </c>
      <c r="K33" s="119">
        <f t="shared" si="0"/>
        <v>28300</v>
      </c>
      <c r="L33" s="13" t="str">
        <f t="array" ref="L33">IF(AND(K33=MAX(K$7:K$37), L$7:L32&lt;&gt;"+"), "+", IF(AND(K33=MIN(K$7:K$37), L$7:L32&lt;&gt;"-"), "-", ""))</f>
        <v/>
      </c>
      <c r="M33" s="34">
        <f>IF(ISBLANK('CWMS Data'!$AS35), "", 'CWMS Data'!$AS35)</f>
        <v>30000.000000000004</v>
      </c>
      <c r="N33" s="13" t="str">
        <f t="array" ref="N33">IF(AND(M33=MAX(M$7:M$37), N$7:N32&lt;&gt;"+"), "+", IF(AND(M33=MIN(M$7:M$37), N$7:N32&lt;&gt;"-"), "-", ""))</f>
        <v/>
      </c>
      <c r="O33" s="35"/>
      <c r="P33" s="35"/>
      <c r="Q33" s="35"/>
    </row>
    <row r="34" spans="1:17" ht="15" x14ac:dyDescent="0.25">
      <c r="A34" s="30">
        <f>IF(ISBLANK('CWMS Data'!$B36), "", 'CWMS Data'!$B36)</f>
        <v>44071</v>
      </c>
      <c r="B34" s="31">
        <f>IF(ISBLANK('CWMS Data'!$AV36), "", 'CWMS Data'!$AV36)</f>
        <v>1355.9499999999998</v>
      </c>
      <c r="C34" s="13" t="str">
        <f t="array" ref="C34">IF(AND(B34=MAX(B$7:B$37), C$7:C33&lt;&gt;"+"), "+", IF(AND(B34=MIN(B$7:B$37), C$7:C33&lt;&gt;"-"), "-", ""))</f>
        <v/>
      </c>
      <c r="D34" s="32">
        <f>IF(ISBLANK('CWMS Data'!$AO36), "", 'CWMS Data'!$AO36)</f>
        <v>0</v>
      </c>
      <c r="E34" s="144">
        <f>IF(ISBLANK('CWMS Data'!$AN36), "", 'CWMS Data'!$AN36)</f>
        <v>700</v>
      </c>
      <c r="F34" s="13" t="str">
        <f t="array" ref="F34">IF(AND(E34=MAX(E$7:E$37), F$7:F33&lt;&gt;"+"), "+", IF(AND(E34=MIN(E$7:E$37), F$7:F33&lt;&gt;"-"), "-", ""))</f>
        <v/>
      </c>
      <c r="G34" s="34">
        <f>IF(ISBLANK('CWMS Data'!$AP36), "", 'CWMS Data'!$AP36)</f>
        <v>28400.000000000004</v>
      </c>
      <c r="H34" s="14" t="str">
        <f t="array" ref="H34">IF(AND(G34=MAX(G$7:G$37), H$7:H33&lt;&gt;"+"), "+", IF(AND(G34=MIN(G$7:G$37), H$7:H33&lt;&gt;"-"), "-", ""))</f>
        <v/>
      </c>
      <c r="I34" s="108">
        <f>IF(ISBLANK('CWMS Data'!$AQ36), "", 'CWMS Data'!$AQ36)</f>
        <v>0</v>
      </c>
      <c r="J34" s="14" t="str">
        <f t="array" ref="J34">IF(AND(I34=MAX(I$7:I$37), J$7:J33&lt;&gt;"+"), "+", IF(AND(I34=MIN(I$7:I$37), J$7:J33&lt;&gt;"-"), "-", ""))</f>
        <v/>
      </c>
      <c r="K34" s="119">
        <f t="shared" si="0"/>
        <v>28400.000000000004</v>
      </c>
      <c r="L34" s="13" t="str">
        <f t="array" ref="L34">IF(AND(K34=MAX(K$7:K$37), L$7:L33&lt;&gt;"+"), "+", IF(AND(K34=MIN(K$7:K$37), L$7:L33&lt;&gt;"-"), "-", ""))</f>
        <v/>
      </c>
      <c r="M34" s="34">
        <f>IF(ISBLANK('CWMS Data'!$AS36), "", 'CWMS Data'!$AS36)</f>
        <v>31000</v>
      </c>
      <c r="N34" s="13" t="str">
        <f t="array" ref="N34">IF(AND(M34=MAX(M$7:M$37), N$7:N33&lt;&gt;"+"), "+", IF(AND(M34=MIN(M$7:M$37), N$7:N33&lt;&gt;"-"), "-", ""))</f>
        <v/>
      </c>
      <c r="O34" s="35"/>
      <c r="P34" s="35"/>
      <c r="Q34" s="35"/>
    </row>
    <row r="35" spans="1:17" ht="15" x14ac:dyDescent="0.25">
      <c r="A35" s="30">
        <f>IF(ISBLANK('CWMS Data'!$B37), "", 'CWMS Data'!$B37)</f>
        <v>44072</v>
      </c>
      <c r="B35" s="31">
        <f>IF(ISBLANK('CWMS Data'!$AV37), "", 'CWMS Data'!$AV37)</f>
        <v>1355.5099999999998</v>
      </c>
      <c r="C35" s="13" t="str">
        <f t="array" ref="C35">IF(AND(B35=MAX(B$7:B$37), C$7:C34&lt;&gt;"+"), "+", IF(AND(B35=MIN(B$7:B$37), C$7:C34&lt;&gt;"-"), "-", ""))</f>
        <v/>
      </c>
      <c r="D35" s="32">
        <f>IF(ISBLANK('CWMS Data'!$AO37), "", 'CWMS Data'!$AO37)</f>
        <v>0</v>
      </c>
      <c r="E35" s="144">
        <f>IF(ISBLANK('CWMS Data'!$AN37), "", 'CWMS Data'!$AN37)</f>
        <v>700</v>
      </c>
      <c r="F35" s="13" t="str">
        <f t="array" ref="F35">IF(AND(E35=MAX(E$7:E$37), F$7:F34&lt;&gt;"+"), "+", IF(AND(E35=MIN(E$7:E$37), F$7:F34&lt;&gt;"-"), "-", ""))</f>
        <v/>
      </c>
      <c r="G35" s="34">
        <f>IF(ISBLANK('CWMS Data'!$AP37), "", 'CWMS Data'!$AP37)</f>
        <v>28300</v>
      </c>
      <c r="H35" s="14" t="str">
        <f t="array" ref="H35">IF(AND(G35=MAX(G$7:G$37), H$7:H34&lt;&gt;"+"), "+", IF(AND(G35=MIN(G$7:G$37), H$7:H34&lt;&gt;"-"), "-", ""))</f>
        <v/>
      </c>
      <c r="I35" s="108">
        <f>IF(ISBLANK('CWMS Data'!$AQ37), "", 'CWMS Data'!$AQ37)</f>
        <v>0</v>
      </c>
      <c r="J35" s="14" t="str">
        <f t="array" ref="J35">IF(AND(I35=MAX(I$7:I$37), J$7:J34&lt;&gt;"+"), "+", IF(AND(I35=MIN(I$7:I$37), J$7:J34&lt;&gt;"-"), "-", ""))</f>
        <v/>
      </c>
      <c r="K35" s="119">
        <f t="shared" si="0"/>
        <v>28300</v>
      </c>
      <c r="L35" s="13" t="str">
        <f t="array" ref="L35">IF(AND(K35=MAX(K$7:K$37), L$7:L34&lt;&gt;"+"), "+", IF(AND(K35=MIN(K$7:K$37), L$7:L34&lt;&gt;"-"), "-", ""))</f>
        <v/>
      </c>
      <c r="M35" s="34">
        <f>IF(ISBLANK('CWMS Data'!$AS37), "", 'CWMS Data'!$AS37)</f>
        <v>21000</v>
      </c>
      <c r="N35" s="13" t="str">
        <f t="array" ref="N35">IF(AND(M35=MAX(M$7:M$37), N$7:N34&lt;&gt;"+"), "+", IF(AND(M35=MIN(M$7:M$37), N$7:N34&lt;&gt;"-"), "-", ""))</f>
        <v/>
      </c>
      <c r="O35" s="35"/>
      <c r="P35" s="35"/>
      <c r="Q35" s="35"/>
    </row>
    <row r="36" spans="1:17" ht="15" x14ac:dyDescent="0.25">
      <c r="A36" s="30">
        <f>IF(ISBLANK('CWMS Data'!$B38), "", 'CWMS Data'!$B38)</f>
        <v>44073</v>
      </c>
      <c r="B36" s="31">
        <f>IF(ISBLANK('CWMS Data'!$AV38), "", 'CWMS Data'!$AV38)</f>
        <v>1355.78</v>
      </c>
      <c r="C36" s="13" t="str">
        <f t="array" ref="C36">IF(AND(B36=MAX(B$7:B$37), C$7:C35&lt;&gt;"+"), "+", IF(AND(B36=MIN(B$7:B$37), C$7:C35&lt;&gt;"-"), "-", ""))</f>
        <v/>
      </c>
      <c r="D36" s="32">
        <f>IF(ISBLANK('CWMS Data'!$AO38), "", 'CWMS Data'!$AO38)</f>
        <v>0</v>
      </c>
      <c r="E36" s="144">
        <f>IF(ISBLANK('CWMS Data'!$AN38), "", 'CWMS Data'!$AN38)</f>
        <v>700</v>
      </c>
      <c r="F36" s="13" t="str">
        <f t="array" ref="F36">IF(AND(E36=MAX(E$7:E$37), F$7:F35&lt;&gt;"+"), "+", IF(AND(E36=MIN(E$7:E$37), F$7:F35&lt;&gt;"-"), "-", ""))</f>
        <v/>
      </c>
      <c r="G36" s="34">
        <f>IF(ISBLANK('CWMS Data'!$AP38), "", 'CWMS Data'!$AP38)</f>
        <v>29000.000000000004</v>
      </c>
      <c r="H36" s="14" t="str">
        <f t="array" ref="H36">IF(AND(G36=MAX(G$7:G$37), H$7:H35&lt;&gt;"+"), "+", IF(AND(G36=MIN(G$7:G$37), H$7:H35&lt;&gt;"-"), "-", ""))</f>
        <v>+</v>
      </c>
      <c r="I36" s="108">
        <f>IF(ISBLANK('CWMS Data'!$AQ38), "", 'CWMS Data'!$AQ38)</f>
        <v>0</v>
      </c>
      <c r="J36" s="14" t="str">
        <f t="array" ref="J36">IF(AND(I36=MAX(I$7:I$37), J$7:J35&lt;&gt;"+"), "+", IF(AND(I36=MIN(I$7:I$37), J$7:J35&lt;&gt;"-"), "-", ""))</f>
        <v/>
      </c>
      <c r="K36" s="119">
        <f t="shared" si="0"/>
        <v>29000.000000000004</v>
      </c>
      <c r="L36" s="13" t="str">
        <f t="array" ref="L36">IF(AND(K36=MAX(K$7:K$37), L$7:L35&lt;&gt;"+"), "+", IF(AND(K36=MIN(K$7:K$37), L$7:L35&lt;&gt;"-"), "-", ""))</f>
        <v>+</v>
      </c>
      <c r="M36" s="34">
        <f>IF(ISBLANK('CWMS Data'!$AS38), "", 'CWMS Data'!$AS38)</f>
        <v>18000</v>
      </c>
      <c r="N36" s="13" t="str">
        <f t="array" ref="N36">IF(AND(M36=MAX(M$7:M$37), N$7:N35&lt;&gt;"+"), "+", IF(AND(M36=MIN(M$7:M$37), N$7:N35&lt;&gt;"-"), "-", ""))</f>
        <v/>
      </c>
      <c r="O36" s="35"/>
      <c r="P36" s="35"/>
      <c r="Q36" s="35"/>
    </row>
    <row r="37" spans="1:17" ht="15" x14ac:dyDescent="0.25">
      <c r="A37" s="30">
        <f>IF(ISBLANK('CWMS Data'!$B39), "", 'CWMS Data'!$B39)</f>
        <v>44074</v>
      </c>
      <c r="B37" s="31">
        <f>IF(ISBLANK('CWMS Data'!$AV39), "", 'CWMS Data'!$AV39)</f>
        <v>1355.23</v>
      </c>
      <c r="C37" s="13" t="str">
        <f t="array" ref="C37">IF(AND(B37=MAX(B$7:B$37), C$7:C36&lt;&gt;"+"), "+", IF(AND(B37=MIN(B$7:B$37), C$7:C36&lt;&gt;"-"), "-", ""))</f>
        <v>-</v>
      </c>
      <c r="D37" s="32">
        <f>IF(ISBLANK('CWMS Data'!$AO39), "", 'CWMS Data'!$AO39)</f>
        <v>0</v>
      </c>
      <c r="E37" s="134">
        <f>IF(ISBLANK('CWMS Data'!$AN39), "", 'CWMS Data'!$AN39)</f>
        <v>700</v>
      </c>
      <c r="F37" s="13" t="str">
        <f t="array" ref="F37">IF(AND(E37=MAX(E$7:E$37), F$7:F36&lt;&gt;"+"), "+", IF(AND(E37=MIN(E$7:E$37), F$7:F36&lt;&gt;"-"), "-", ""))</f>
        <v/>
      </c>
      <c r="G37" s="34">
        <f>IF(ISBLANK('CWMS Data'!$AP39), "", 'CWMS Data'!$AP39)</f>
        <v>28500</v>
      </c>
      <c r="H37" s="15" t="str">
        <f t="array" ref="H37">IF(AND(G37=MAX(G$7:G$37), H$7:H36&lt;&gt;"+"), "+", IF(AND(G37=MIN(G$7:G$37), H$7:H36&lt;&gt;"-"), "-", ""))</f>
        <v/>
      </c>
      <c r="I37" s="108">
        <f>IF(ISBLANK('CWMS Data'!$AQ39), "", 'CWMS Data'!$AQ39)</f>
        <v>0</v>
      </c>
      <c r="J37" s="15" t="str">
        <f t="array" ref="J37">IF(AND(I37=MAX(I$7:I$37), J$7:J36&lt;&gt;"+"), "+", IF(AND(I37=MIN(I$7:I$37), J$7:J36&lt;&gt;"-"), "-", ""))</f>
        <v/>
      </c>
      <c r="K37" s="108">
        <f>IF(A37="","",I37+G37)</f>
        <v>28500</v>
      </c>
      <c r="L37" s="13" t="str">
        <f t="array" ref="L37">IF(AND(K37=MAX(K$7:K$37), L$7:L36&lt;&gt;"+"), "+", IF(AND(K37=MIN(K$7:K$37), L$7:L36&lt;&gt;"-"), "-", ""))</f>
        <v/>
      </c>
      <c r="M37" s="34">
        <f>IF(ISBLANK('CWMS Data'!$AS39), "", 'CWMS Data'!$AS39)</f>
        <v>24000</v>
      </c>
      <c r="N37" s="13" t="str">
        <f t="array" ref="N37">IF(AND(M37=MAX(M$7:M$37), N$7:N36&lt;&gt;"+"), "+", IF(AND(M37=MIN(M$7:M$37), N$7:N36&lt;&gt;"-"), "-", ""))</f>
        <v/>
      </c>
      <c r="O37" s="37"/>
      <c r="P37" s="35"/>
      <c r="Q37" s="35"/>
    </row>
    <row r="38" spans="1:17" ht="15" x14ac:dyDescent="0.25">
      <c r="A38" s="155" t="s">
        <v>0</v>
      </c>
      <c r="B38" s="156"/>
      <c r="C38" s="186"/>
      <c r="D38" s="38">
        <f>SUM(D7:D37)</f>
        <v>0</v>
      </c>
      <c r="E38" s="39">
        <f>ROUND(SUM(E7:E37),-2)</f>
        <v>23800</v>
      </c>
      <c r="F38" s="40"/>
      <c r="G38" s="41">
        <f>ROUND(SUM(G7:G37),-2)</f>
        <v>842900</v>
      </c>
      <c r="H38" s="42"/>
      <c r="I38" s="39">
        <f>ROUND(SUM(I7:I37),-2)</f>
        <v>700</v>
      </c>
      <c r="J38" s="43"/>
      <c r="K38" s="39">
        <f>ROUND(SUM(K7:K37),-2)</f>
        <v>843600</v>
      </c>
      <c r="L38" s="44"/>
      <c r="M38" s="41">
        <f>ROUND(SUM(M7:M37),-3)</f>
        <v>763000</v>
      </c>
      <c r="N38" s="44"/>
      <c r="O38" s="35"/>
      <c r="P38" s="35"/>
      <c r="Q38" s="35"/>
    </row>
    <row r="39" spans="1:17" ht="15" x14ac:dyDescent="0.25">
      <c r="A39" s="187" t="s">
        <v>1</v>
      </c>
      <c r="B39" s="188"/>
      <c r="C39" s="189"/>
      <c r="D39" s="45"/>
      <c r="E39" s="46">
        <f>ROUND(SUM(E7:E37)*(86400/43560),-2)</f>
        <v>47200</v>
      </c>
      <c r="F39" s="47"/>
      <c r="G39" s="46">
        <f>ROUND(SUM(G7:G37)*(86400/43560),-3)</f>
        <v>1672000</v>
      </c>
      <c r="H39" s="49"/>
      <c r="I39" s="46">
        <f>ROUND(SUM(I7:I37)*(86400/43560),-3)</f>
        <v>1000</v>
      </c>
      <c r="J39" s="50"/>
      <c r="K39" s="46">
        <f>ROUND(SUM(K7:K37)*(86400/43560),-3)</f>
        <v>1673000</v>
      </c>
      <c r="L39" s="51"/>
      <c r="M39" s="46">
        <f>ROUND(SUM(M7:M37)*(86400/43560),-3)</f>
        <v>1513000</v>
      </c>
      <c r="N39" s="51"/>
      <c r="O39" s="35"/>
    </row>
    <row r="40" spans="1:17" ht="15" x14ac:dyDescent="0.25">
      <c r="A40" s="17" t="s">
        <v>2</v>
      </c>
      <c r="B40" s="52">
        <f>AVERAGE(B7:B37)</f>
        <v>1356.6870967741938</v>
      </c>
      <c r="C40" s="53"/>
      <c r="D40" s="54">
        <f>AVERAGE(D7:D37)</f>
        <v>0</v>
      </c>
      <c r="E40" s="46">
        <f>ROUND(AVERAGE(E7:E37),-2)</f>
        <v>800</v>
      </c>
      <c r="F40" s="47"/>
      <c r="G40" s="55">
        <f>ROUND(AVERAGE(G7:G37),-2)</f>
        <v>27200</v>
      </c>
      <c r="H40" s="56"/>
      <c r="I40" s="57">
        <f>ROUND(AVERAGE(I7:I37),-2)</f>
        <v>0</v>
      </c>
      <c r="J40" s="58"/>
      <c r="K40" s="57">
        <f>ROUND(AVERAGE(K7:K37),-2)</f>
        <v>27200</v>
      </c>
      <c r="L40" s="59"/>
      <c r="M40" s="46">
        <f>ROUND(AVERAGE(M7:M37),-2)</f>
        <v>24600</v>
      </c>
      <c r="N40" s="51"/>
      <c r="O40" s="35"/>
    </row>
    <row r="41" spans="1:17" ht="15" x14ac:dyDescent="0.25">
      <c r="A41" s="155" t="s">
        <v>25</v>
      </c>
      <c r="B41" s="156"/>
      <c r="C41" s="156"/>
      <c r="D41" s="156"/>
      <c r="E41" s="106" t="s">
        <v>31</v>
      </c>
      <c r="F41" s="202">
        <f>INDEX('CWMS Data'!$B$8:$BE$39,MATCH(MAX($A$7:$A$37),'CWMS Data'!$B$8:$B$39,0), 46)</f>
        <v>3432999.9999999995</v>
      </c>
      <c r="G41" s="202"/>
      <c r="H41" s="62"/>
      <c r="I41" s="62"/>
      <c r="J41" s="153" t="s">
        <v>44</v>
      </c>
      <c r="K41" s="153"/>
      <c r="L41" s="202">
        <f>INDEX('CWMS Data'!$B$8:$BE$39,MATCH(MAX($A$7:$A$37),'CWMS Data'!$B$8:$B$39,0), 46)-'CWMS Data'!AU8</f>
        <v>-207000.00000000047</v>
      </c>
      <c r="M41" s="202"/>
      <c r="N41" s="64"/>
    </row>
    <row r="42" spans="1:17" ht="15" x14ac:dyDescent="0.25">
      <c r="A42" s="19" t="str">
        <f>TEXT("+ Max", 0)</f>
        <v>+ Max</v>
      </c>
      <c r="B42" s="60"/>
      <c r="C42" s="61"/>
      <c r="D42" s="154" t="s">
        <v>46</v>
      </c>
      <c r="E42" s="154"/>
      <c r="F42" s="157">
        <f>MAX('CWMS Data'!AU9:AU39)</f>
        <v>3631000</v>
      </c>
      <c r="G42" s="157"/>
      <c r="H42" s="62"/>
      <c r="I42" s="62"/>
      <c r="J42" s="154" t="s">
        <v>33</v>
      </c>
      <c r="K42" s="154"/>
      <c r="L42" s="157">
        <f>MIN('CWMS Data'!AU9:AU39)</f>
        <v>3432999.9999999995</v>
      </c>
      <c r="M42" s="157"/>
      <c r="N42" s="65"/>
    </row>
    <row r="43" spans="1:17" ht="15" x14ac:dyDescent="0.25">
      <c r="A43" s="19" t="str">
        <f>TEXT("- Min", 0)</f>
        <v>- Min</v>
      </c>
      <c r="B43" s="60"/>
      <c r="C43" s="61"/>
      <c r="D43" s="185" t="s">
        <v>45</v>
      </c>
      <c r="E43" s="185"/>
      <c r="F43" s="66" t="str">
        <f t="array" ref="F43">TEXT(SUM(IF('CWMS Data'!AT9:AT39&lt;&gt;-901,'CWMS Data'!AT9:AT39)), "0.00")&amp;" inches"</f>
        <v>2.50 inches</v>
      </c>
      <c r="G43" s="66"/>
      <c r="H43" s="62"/>
      <c r="I43" s="62"/>
      <c r="J43" s="61"/>
      <c r="K43" s="62"/>
      <c r="L43" s="61"/>
      <c r="M43" s="62"/>
      <c r="N43" s="65"/>
    </row>
    <row r="44" spans="1:17" ht="14.25" customHeight="1" x14ac:dyDescent="0.2">
      <c r="A44" s="190" t="s">
        <v>90</v>
      </c>
      <c r="B44" s="191"/>
      <c r="C44" s="191"/>
      <c r="D44" s="191"/>
      <c r="E44" s="191"/>
      <c r="F44" s="191"/>
      <c r="G44" s="191"/>
      <c r="H44" s="191"/>
      <c r="I44" s="191"/>
      <c r="J44" s="191"/>
      <c r="K44" s="191"/>
      <c r="L44" s="191"/>
      <c r="M44" s="196">
        <f>F3</f>
        <v>44044</v>
      </c>
      <c r="N44" s="197"/>
    </row>
    <row r="45" spans="1:17" ht="14.25" customHeight="1" x14ac:dyDescent="0.2">
      <c r="A45" s="192"/>
      <c r="B45" s="193"/>
      <c r="C45" s="193"/>
      <c r="D45" s="193"/>
      <c r="E45" s="193"/>
      <c r="F45" s="193"/>
      <c r="G45" s="193"/>
      <c r="H45" s="193"/>
      <c r="I45" s="193"/>
      <c r="J45" s="193"/>
      <c r="K45" s="193"/>
      <c r="L45" s="193"/>
      <c r="M45" s="198"/>
      <c r="N45" s="199"/>
    </row>
    <row r="46" spans="1:17" ht="14.25" customHeight="1" x14ac:dyDescent="0.2">
      <c r="A46" s="194"/>
      <c r="B46" s="195"/>
      <c r="C46" s="195"/>
      <c r="D46" s="195"/>
      <c r="E46" s="195"/>
      <c r="F46" s="195"/>
      <c r="G46" s="195"/>
      <c r="H46" s="195"/>
      <c r="I46" s="195"/>
      <c r="J46" s="195"/>
      <c r="K46" s="195"/>
      <c r="L46" s="195"/>
      <c r="M46" s="200"/>
      <c r="N46" s="201"/>
    </row>
    <row r="47" spans="1:17" x14ac:dyDescent="0.2">
      <c r="M47" s="35"/>
      <c r="N47" s="35"/>
    </row>
  </sheetData>
  <sheetProtection formatCells="0"/>
  <mergeCells count="30">
    <mergeCell ref="P9:Q9"/>
    <mergeCell ref="A1:N1"/>
    <mergeCell ref="A2:E2"/>
    <mergeCell ref="F2:N2"/>
    <mergeCell ref="A3:E3"/>
    <mergeCell ref="F3:H3"/>
    <mergeCell ref="I3:N3"/>
    <mergeCell ref="P1:Q1"/>
    <mergeCell ref="L42:M42"/>
    <mergeCell ref="D4:F4"/>
    <mergeCell ref="G4:N4"/>
    <mergeCell ref="B5:C5"/>
    <mergeCell ref="G5:L5"/>
    <mergeCell ref="M5:N5"/>
    <mergeCell ref="D43:E43"/>
    <mergeCell ref="A44:L46"/>
    <mergeCell ref="M44:N46"/>
    <mergeCell ref="P6:S6"/>
    <mergeCell ref="P7:S7"/>
    <mergeCell ref="P8:S8"/>
    <mergeCell ref="A38:C38"/>
    <mergeCell ref="A39:C39"/>
    <mergeCell ref="A41:D41"/>
    <mergeCell ref="F41:G41"/>
    <mergeCell ref="J41:K41"/>
    <mergeCell ref="L41:M41"/>
    <mergeCell ref="B6:C6"/>
    <mergeCell ref="D42:E42"/>
    <mergeCell ref="F42:G42"/>
    <mergeCell ref="J42:K42"/>
  </mergeCells>
  <conditionalFormatting sqref="A7:N37">
    <cfRule type="expression" dxfId="5" priority="3">
      <formula>AND(DAY($A7) / 5 = INT(DAY($A7) / 5), DAY($A7)&lt;&gt;30)</formula>
    </cfRule>
  </conditionalFormatting>
  <conditionalFormatting sqref="R9">
    <cfRule type="cellIs" dxfId="4" priority="1" operator="notBetween">
      <formula>-99.9999999</formula>
      <formula>99.9999999</formula>
    </cfRule>
  </conditionalFormatting>
  <dataValidations count="2">
    <dataValidation type="list" allowBlank="1" showInputMessage="1" showErrorMessage="1" sqref="R1" xr:uid="{00000000-0002-0000-0400-000000000000}">
      <formula1>"No, Yes"</formula1>
    </dataValidation>
    <dataValidation type="custom" allowBlank="1" showInputMessage="1" showErrorMessage="1" errorTitle="Protected Cell" error="This cell is protected.  To edit, change cell R1 to &quot;No&quot;." sqref="A1:N6 A7:D37 F7:L37 G40:L43 A38:F43 N7:N46 G38:M39 M40:M46" xr:uid="{00000000-0002-0000-0400-000001000000}">
      <formula1>IF($R$1 = "Yes", FALSE, TRUE)</formula1>
    </dataValidation>
  </dataValidations>
  <printOptions horizontalCentered="1" verticalCentered="1"/>
  <pageMargins left="0.7" right="0.7" top="0.5" bottom="0.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4D99B9A3-F83F-4478-BD48-5EDD5F644073}">
            <xm:f>K7&lt;&gt;'CWMS Data'!AR9</xm:f>
            <x14:dxf>
              <font>
                <b/>
                <i val="0"/>
                <color theme="5"/>
              </font>
              <fill>
                <patternFill>
                  <bgColor theme="5" tint="0.79998168889431442"/>
                </patternFill>
              </fill>
            </x14:dxf>
          </x14:cfRule>
          <xm:sqref>K7:K37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6"/>
  <dimension ref="A1:AF47"/>
  <sheetViews>
    <sheetView tabSelected="1" zoomScale="90" zoomScaleNormal="90" workbookViewId="0">
      <selection activeCell="G25" sqref="G25"/>
    </sheetView>
  </sheetViews>
  <sheetFormatPr defaultColWidth="9.140625" defaultRowHeight="14.25" x14ac:dyDescent="0.2"/>
  <cols>
    <col min="1" max="1" width="8" style="24" customWidth="1"/>
    <col min="2" max="2" width="11" style="24" customWidth="1"/>
    <col min="3" max="3" width="2" style="24" customWidth="1"/>
    <col min="4" max="5" width="9.85546875" style="24" customWidth="1"/>
    <col min="6" max="6" width="2" style="24" customWidth="1"/>
    <col min="7" max="7" width="9.85546875" style="24" customWidth="1"/>
    <col min="8" max="8" width="2" style="24" customWidth="1"/>
    <col min="9" max="9" width="9.85546875" style="24" customWidth="1"/>
    <col min="10" max="10" width="2" style="24" customWidth="1"/>
    <col min="11" max="11" width="9.85546875" style="24" customWidth="1"/>
    <col min="12" max="12" width="2" style="24" customWidth="1"/>
    <col min="13" max="13" width="9.85546875" style="24" customWidth="1"/>
    <col min="14" max="14" width="2" style="24" customWidth="1"/>
    <col min="15" max="15" width="9.28515625" style="24" customWidth="1"/>
    <col min="16" max="16" width="11" style="24" bestFit="1" customWidth="1"/>
    <col min="17" max="17" width="10.140625" style="24" bestFit="1" customWidth="1"/>
    <col min="18" max="20" width="9.140625" style="24"/>
    <col min="21" max="21" width="11.7109375" style="24" bestFit="1" customWidth="1"/>
    <col min="22" max="23" width="9.140625" style="24"/>
    <col min="24" max="24" width="12" style="24" customWidth="1"/>
    <col min="25" max="16384" width="9.140625" style="24"/>
  </cols>
  <sheetData>
    <row r="1" spans="1:32" ht="15.75" x14ac:dyDescent="0.25">
      <c r="A1" s="160" t="s">
        <v>43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23"/>
      <c r="P1" s="184" t="s">
        <v>67</v>
      </c>
      <c r="Q1" s="184"/>
      <c r="R1" s="116" t="s">
        <v>68</v>
      </c>
    </row>
    <row r="2" spans="1:32" ht="15.75" x14ac:dyDescent="0.25">
      <c r="A2" s="160" t="s">
        <v>63</v>
      </c>
      <c r="B2" s="160"/>
      <c r="C2" s="160"/>
      <c r="D2" s="160"/>
      <c r="E2" s="160"/>
      <c r="F2" s="160" t="s">
        <v>36</v>
      </c>
      <c r="G2" s="160"/>
      <c r="H2" s="160"/>
      <c r="I2" s="160"/>
      <c r="J2" s="160"/>
      <c r="K2" s="160"/>
      <c r="L2" s="160"/>
      <c r="M2" s="160"/>
      <c r="N2" s="160"/>
      <c r="Y2" s="23"/>
      <c r="Z2" s="23"/>
      <c r="AA2" s="23"/>
      <c r="AB2" s="23"/>
      <c r="AC2" s="23"/>
      <c r="AD2" s="23"/>
      <c r="AE2" s="23"/>
      <c r="AF2" s="23"/>
    </row>
    <row r="3" spans="1:32" ht="15" x14ac:dyDescent="0.25">
      <c r="A3" s="164" t="s">
        <v>52</v>
      </c>
      <c r="B3" s="164"/>
      <c r="C3" s="164"/>
      <c r="D3" s="164"/>
      <c r="E3" s="164"/>
      <c r="F3" s="165">
        <f>'CWMS Data'!$B$9</f>
        <v>44044</v>
      </c>
      <c r="G3" s="165"/>
      <c r="H3" s="165"/>
      <c r="I3" s="166" t="s">
        <v>35</v>
      </c>
      <c r="J3" s="167"/>
      <c r="K3" s="167"/>
      <c r="L3" s="167"/>
      <c r="M3" s="167"/>
      <c r="N3" s="167"/>
    </row>
    <row r="4" spans="1:32" ht="15" x14ac:dyDescent="0.25">
      <c r="A4" s="71"/>
      <c r="B4" s="71"/>
      <c r="C4" s="79"/>
      <c r="D4" s="179" t="s">
        <v>56</v>
      </c>
      <c r="E4" s="180"/>
      <c r="F4" s="181"/>
      <c r="G4" s="168" t="s">
        <v>34</v>
      </c>
      <c r="H4" s="169"/>
      <c r="I4" s="169"/>
      <c r="J4" s="169"/>
      <c r="K4" s="169"/>
      <c r="L4" s="170"/>
      <c r="M4" s="170"/>
      <c r="N4" s="171"/>
      <c r="O4" s="25"/>
    </row>
    <row r="5" spans="1:32" ht="15" x14ac:dyDescent="0.25">
      <c r="A5" s="8">
        <f>$F$3</f>
        <v>44044</v>
      </c>
      <c r="B5" s="172" t="s">
        <v>27</v>
      </c>
      <c r="C5" s="173"/>
      <c r="D5" s="73" t="s">
        <v>57</v>
      </c>
      <c r="E5" s="74" t="s">
        <v>58</v>
      </c>
      <c r="F5" s="72"/>
      <c r="G5" s="174" t="s">
        <v>28</v>
      </c>
      <c r="H5" s="174"/>
      <c r="I5" s="174"/>
      <c r="J5" s="175"/>
      <c r="K5" s="175"/>
      <c r="L5" s="176"/>
      <c r="M5" s="177" t="s">
        <v>29</v>
      </c>
      <c r="N5" s="178"/>
    </row>
    <row r="6" spans="1:32" ht="15" x14ac:dyDescent="0.25">
      <c r="A6" s="9">
        <f>$F$3</f>
        <v>44044</v>
      </c>
      <c r="B6" s="182" t="s">
        <v>42</v>
      </c>
      <c r="C6" s="183"/>
      <c r="D6" s="75" t="s">
        <v>40</v>
      </c>
      <c r="E6" s="78" t="s">
        <v>41</v>
      </c>
      <c r="F6" s="76"/>
      <c r="G6" s="78" t="s">
        <v>37</v>
      </c>
      <c r="H6" s="78"/>
      <c r="I6" s="78" t="s">
        <v>38</v>
      </c>
      <c r="J6" s="78"/>
      <c r="K6" s="78" t="s">
        <v>39</v>
      </c>
      <c r="L6" s="12"/>
      <c r="M6" s="75"/>
      <c r="N6" s="28"/>
      <c r="O6" s="29"/>
      <c r="P6" s="161" t="s">
        <v>64</v>
      </c>
      <c r="Q6" s="162"/>
      <c r="R6" s="162"/>
      <c r="S6" s="163"/>
    </row>
    <row r="7" spans="1:32" ht="15" x14ac:dyDescent="0.25">
      <c r="A7" s="30">
        <f>IF(ISBLANK('CWMS Data'!$B9), "", 'CWMS Data'!$B9)</f>
        <v>44044</v>
      </c>
      <c r="B7" s="31">
        <f>IF(ISBLANK('CWMS Data'!$BE9), "", 'CWMS Data'!$BE9)</f>
        <v>1207.25</v>
      </c>
      <c r="C7" s="13" t="str">
        <f>IF(B7=MAX(B$7:B$37),"+", IF(B7=MIN(B$7:B$37), "-", ""))</f>
        <v>+</v>
      </c>
      <c r="D7" s="32">
        <f>IF(ISBLANK('CWMS Data'!$AX9), "", 'CWMS Data'!$AX9)</f>
        <v>0.2</v>
      </c>
      <c r="E7" s="77">
        <v>0</v>
      </c>
      <c r="F7" s="13" t="str">
        <f>IF(E7=MAX(E$7:E$37),"+", IF(E7=MIN(E$7:E$37), "-", ""))</f>
        <v>-</v>
      </c>
      <c r="G7" s="34">
        <f>IF(ISBLANK('CWMS Data'!$AY9), "", 'CWMS Data'!$AY9)</f>
        <v>30100</v>
      </c>
      <c r="H7" s="16" t="str">
        <f>IF(G7=MAX(G$7:G$37),"+", IF(G7=MIN(G$7:G$37), "-", ""))</f>
        <v>+</v>
      </c>
      <c r="I7" s="77">
        <f>IF(ISBLANK('CWMS Data'!$AZ9), "", 'CWMS Data'!$AZ9)</f>
        <v>0</v>
      </c>
      <c r="J7" s="16" t="str">
        <f>IF(I7=MAX(I$7:I$37),"+", IF(I7=MIN(I$7:I$37), "-", ""))</f>
        <v>-</v>
      </c>
      <c r="K7" s="119">
        <f>IF(A7="","",I7+G7)</f>
        <v>30100</v>
      </c>
      <c r="L7" s="13" t="str">
        <f>IF(K7=MAX(K$7:K$37),"+", IF(K7=MIN(K$7:K$37), "-", ""))</f>
        <v>+</v>
      </c>
      <c r="M7" s="34">
        <f>IF(ISBLANK('CWMS Data'!$BB9), "", 'CWMS Data'!$BB9)</f>
        <v>29000.000000000004</v>
      </c>
      <c r="N7" s="13" t="str">
        <f>IF(M7=MAX(M$7:M$37),"+", IF(M7=MIN(M$7:M$37), "-", ""))</f>
        <v>-</v>
      </c>
      <c r="O7" s="35"/>
      <c r="P7" s="147" t="str">
        <f>IF(ROUND(GAPT_Storage_Diff_cfs, -3)&lt;0, "Add " &amp; ABS(ROUNDDOWN(GAPT_Storage_Diff_cfs, -3)) &amp; " cfs to inflow", "Subtract " &amp; IF(ABS(GAPT_Storage_Diff_acft) &lt; 100, 0, ABS(ROUNDDOWN(GAPT_Storage_Diff_cfs, -3))) &amp; " cfs to inflow")</f>
        <v>Subtract 0 cfs to inflow</v>
      </c>
      <c r="Q7" s="148"/>
      <c r="R7" s="148"/>
      <c r="S7" s="149"/>
    </row>
    <row r="8" spans="1:32" ht="15" x14ac:dyDescent="0.25">
      <c r="A8" s="30">
        <f>IF(ISBLANK('CWMS Data'!$B10), "", 'CWMS Data'!$B10)</f>
        <v>44045</v>
      </c>
      <c r="B8" s="31">
        <f>IF(ISBLANK('CWMS Data'!$BE10), "", 'CWMS Data'!$BE10)</f>
        <v>1207.0999999999999</v>
      </c>
      <c r="C8" s="13" t="str">
        <f t="array" ref="C8">IF(AND(B8=MAX(B$7:B$37), C$7:C7&lt;&gt;"+"), "+", IF(AND(B8=MIN(B$7:B$37), C$7:C7&lt;&gt;"-"), "-", ""))</f>
        <v/>
      </c>
      <c r="D8" s="32">
        <f>IF(ISBLANK('CWMS Data'!$AX10), "", 'CWMS Data'!$AX10)</f>
        <v>0.2</v>
      </c>
      <c r="E8" s="132">
        <f>IF(ISBLANK('CWMS Data'!$AW10), "", 'CWMS Data'!$AW10)</f>
        <v>100</v>
      </c>
      <c r="F8" s="13" t="str">
        <f t="array" ref="F8">IF(AND(E8=MAX(E$7:E$37), F$7:F7&lt;&gt;"+"), "+", IF(AND(E8=MIN(E$7:E$37), F$7:F7&lt;&gt;"-"), "-", ""))</f>
        <v>+</v>
      </c>
      <c r="G8" s="34">
        <f>IF(ISBLANK('CWMS Data'!$AY10), "", 'CWMS Data'!$AY10)</f>
        <v>30000.000000000004</v>
      </c>
      <c r="H8" s="14" t="str">
        <f t="array" ref="H8">IF(AND(G8=MAX(G$7:G$37), H$7:H7&lt;&gt;"+"), "+", IF(AND(G8=MIN(G$7:G$37), H$7:H7&lt;&gt;"-"), "-", ""))</f>
        <v/>
      </c>
      <c r="I8" s="77">
        <f>IF(ISBLANK('CWMS Data'!$AZ10), "", 'CWMS Data'!$AZ10)</f>
        <v>0</v>
      </c>
      <c r="J8" s="14" t="str">
        <f t="array" ref="J8">IF(AND(I8=MAX(I$7:I$37), J$7:J7&lt;&gt;"+"), "+", IF(AND(I8=MIN(I$7:I$37), J$7:J7&lt;&gt;"-"), "-", ""))</f>
        <v/>
      </c>
      <c r="K8" s="119">
        <f t="shared" ref="K8:K36" si="0">IF(A8="","",I8+G8)</f>
        <v>30000.000000000004</v>
      </c>
      <c r="L8" s="13" t="str">
        <f t="array" ref="L8">IF(AND(K8=MAX(K$7:K$37), L$7:L7&lt;&gt;"+"), "+", IF(AND(K8=MIN(K$7:K$37), L$7:L7&lt;&gt;"-"), "-", ""))</f>
        <v/>
      </c>
      <c r="M8" s="34">
        <f>IF(ISBLANK('CWMS Data'!$BB10), "", 'CWMS Data'!$BB10)</f>
        <v>29000.000000000004</v>
      </c>
      <c r="N8" s="13" t="str">
        <f t="array" ref="N8">IF(AND(M8=MAX(M$7:M$37), N$7:N7&lt;&gt;"+"), "+", IF(AND(M8=MIN(M$7:M$37), N$7:N7&lt;&gt;"-"), "-", ""))</f>
        <v/>
      </c>
      <c r="O8" s="35"/>
      <c r="P8" s="150" t="str">
        <f>IF(ROUND(ROUNDDOWN(GAPT_Storage_Diff_cfs, -3) - GAPT_Storage_Diff_cfs, -2)&lt;0, "Add ", "Subtract ") &amp; IF(ABS(GAPT_Storage_Diff_acft) &lt; 100, 0, ABS(ROUND(ROUNDDOWN(GAPT_Storage_Diff_cfs, -3) - GAPT_Storage_Diff_cfs, -2))) &amp; " cfs to evap"</f>
        <v>Subtract 0 cfs to evap</v>
      </c>
      <c r="Q8" s="151"/>
      <c r="R8" s="151"/>
      <c r="S8" s="152"/>
      <c r="X8" s="35"/>
    </row>
    <row r="9" spans="1:32" ht="15" x14ac:dyDescent="0.25">
      <c r="A9" s="30">
        <f>IF(ISBLANK('CWMS Data'!$B11), "", 'CWMS Data'!$B11)</f>
        <v>44046</v>
      </c>
      <c r="B9" s="31">
        <f>IF(ISBLANK('CWMS Data'!$BE11), "", 'CWMS Data'!$BE11)</f>
        <v>1207.1199999999997</v>
      </c>
      <c r="C9" s="13" t="str">
        <f t="array" ref="C9">IF(AND(B9=MAX(B$7:B$37), C$7:C8&lt;&gt;"+"), "+", IF(AND(B9=MIN(B$7:B$37), C$7:C8&lt;&gt;"-"), "-", ""))</f>
        <v/>
      </c>
      <c r="D9" s="32">
        <f>IF(ISBLANK('CWMS Data'!$AX11), "", 'CWMS Data'!$AX11)</f>
        <v>0.6</v>
      </c>
      <c r="E9" s="132">
        <v>100</v>
      </c>
      <c r="F9" s="13" t="str">
        <f t="array" ref="F9">IF(AND(E9=MAX(E$7:E$37), F$7:F8&lt;&gt;"+"), "+", IF(AND(E9=MIN(E$7:E$37), F$7:F8&lt;&gt;"-"), "-", ""))</f>
        <v/>
      </c>
      <c r="G9" s="34">
        <f>IF(ISBLANK('CWMS Data'!$AY11), "", 'CWMS Data'!$AY11)</f>
        <v>22500.000000000004</v>
      </c>
      <c r="H9" s="14" t="str">
        <f t="array" ref="H9">IF(AND(G9=MAX(G$7:G$37), H$7:H8&lt;&gt;"+"), "+", IF(AND(G9=MIN(G$7:G$37), H$7:H8&lt;&gt;"-"), "-", ""))</f>
        <v/>
      </c>
      <c r="I9" s="77">
        <f>IF(ISBLANK('CWMS Data'!$AZ11), "", 'CWMS Data'!$AZ11)</f>
        <v>7400.0000000000009</v>
      </c>
      <c r="J9" s="14" t="str">
        <f t="array" ref="J9">IF(AND(I9=MAX(I$7:I$37), J$7:J8&lt;&gt;"+"), "+", IF(AND(I9=MIN(I$7:I$37), J$7:J8&lt;&gt;"-"), "-", ""))</f>
        <v/>
      </c>
      <c r="K9" s="119">
        <f t="shared" si="0"/>
        <v>29900.000000000004</v>
      </c>
      <c r="L9" s="13" t="str">
        <f t="array" ref="L9">IF(AND(K9=MAX(K$7:K$37), L$7:L8&lt;&gt;"+"), "+", IF(AND(K9=MIN(K$7:K$37), L$7:L8&lt;&gt;"-"), "-", ""))</f>
        <v>-</v>
      </c>
      <c r="M9" s="34">
        <f>IF(ISBLANK('CWMS Data'!$BB11), "", 'CWMS Data'!$BB11)</f>
        <v>29000.000000000004</v>
      </c>
      <c r="N9" s="13" t="str">
        <f t="array" ref="N9">IF(AND(M9=MAX(M$7:M$37), N$7:N8&lt;&gt;"+"), "+", IF(AND(M9=MIN(M$7:M$37), N$7:N8&lt;&gt;"-"), "-", ""))</f>
        <v/>
      </c>
      <c r="O9" s="35"/>
      <c r="P9" s="158" t="s">
        <v>70</v>
      </c>
      <c r="Q9" s="159"/>
      <c r="R9" s="126">
        <f>GAPT_Storage_Diff_acft</f>
        <v>-82.64462809923134</v>
      </c>
      <c r="S9" s="127" t="s">
        <v>71</v>
      </c>
      <c r="X9" s="35"/>
    </row>
    <row r="10" spans="1:32" ht="15" x14ac:dyDescent="0.25">
      <c r="A10" s="30">
        <f>IF(ISBLANK('CWMS Data'!$B12), "", 'CWMS Data'!$B12)</f>
        <v>44047</v>
      </c>
      <c r="B10" s="31">
        <f>IF(ISBLANK('CWMS Data'!$BE12), "", 'CWMS Data'!$BE12)</f>
        <v>1207.05</v>
      </c>
      <c r="C10" s="13" t="str">
        <f t="array" ref="C10">IF(AND(B10=MAX(B$7:B$37), C$7:C9&lt;&gt;"+"), "+", IF(AND(B10=MIN(B$7:B$37), C$7:C9&lt;&gt;"-"), "-", ""))</f>
        <v/>
      </c>
      <c r="D10" s="32">
        <f>IF(ISBLANK('CWMS Data'!$AX12), "", 'CWMS Data'!$AX12)</f>
        <v>0.3</v>
      </c>
      <c r="E10" s="132">
        <v>100</v>
      </c>
      <c r="F10" s="13" t="str">
        <f t="array" ref="F10">IF(AND(E10=MAX(E$7:E$37), F$7:F9&lt;&gt;"+"), "+", IF(AND(E10=MIN(E$7:E$37), F$7:F9&lt;&gt;"-"), "-", ""))</f>
        <v/>
      </c>
      <c r="G10" s="34">
        <f>IF(ISBLANK('CWMS Data'!$AY12), "", 'CWMS Data'!$AY12)</f>
        <v>19400</v>
      </c>
      <c r="H10" s="14" t="str">
        <f t="array" ref="H10">IF(AND(G10=MAX(G$7:G$37), H$7:H9&lt;&gt;"+"), "+", IF(AND(G10=MIN(G$7:G$37), H$7:H9&lt;&gt;"-"), "-", ""))</f>
        <v>-</v>
      </c>
      <c r="I10" s="77">
        <f>IF(ISBLANK('CWMS Data'!$AZ12), "", 'CWMS Data'!$AZ12)</f>
        <v>10600.000000000002</v>
      </c>
      <c r="J10" s="14" t="str">
        <f t="array" ref="J10">IF(AND(I10=MAX(I$7:I$37), J$7:J9&lt;&gt;"+"), "+", IF(AND(I10=MIN(I$7:I$37), J$7:J9&lt;&gt;"-"), "-", ""))</f>
        <v>+</v>
      </c>
      <c r="K10" s="119">
        <f t="shared" si="0"/>
        <v>30000</v>
      </c>
      <c r="L10" s="13" t="str">
        <f t="array" ref="L10">IF(AND(K10=MAX(K$7:K$37), L$7:L9&lt;&gt;"+"), "+", IF(AND(K10=MIN(K$7:K$37), L$7:L9&lt;&gt;"-"), "-", ""))</f>
        <v/>
      </c>
      <c r="M10" s="34">
        <f>IF(ISBLANK('CWMS Data'!$BB12), "", 'CWMS Data'!$BB12)</f>
        <v>30000.000000000004</v>
      </c>
      <c r="N10" s="13" t="str">
        <f t="array" ref="N10">IF(AND(M10=MAX(M$7:M$37), N$7:N9&lt;&gt;"+"), "+", IF(AND(M10=MIN(M$7:M$37), N$7:N9&lt;&gt;"-"), "-", ""))</f>
        <v/>
      </c>
      <c r="O10" s="35"/>
      <c r="P10" s="35"/>
      <c r="Q10" s="35"/>
      <c r="X10" s="35"/>
    </row>
    <row r="11" spans="1:32" ht="15" x14ac:dyDescent="0.25">
      <c r="A11" s="36">
        <f>IF(ISBLANK('CWMS Data'!$B13), "", 'CWMS Data'!$B13)</f>
        <v>44048</v>
      </c>
      <c r="B11" s="31">
        <f>IF(ISBLANK('CWMS Data'!$BE13), "", 'CWMS Data'!$BE13)</f>
        <v>1207.0899999999997</v>
      </c>
      <c r="C11" s="13" t="str">
        <f t="array" ref="C11">IF(AND(B11=MAX(B$7:B$37), C$7:C10&lt;&gt;"+"), "+", IF(AND(B11=MIN(B$7:B$37), C$7:C10&lt;&gt;"-"), "-", ""))</f>
        <v/>
      </c>
      <c r="D11" s="32">
        <f>IF(ISBLANK('CWMS Data'!$AX13), "", 'CWMS Data'!$AX13)</f>
        <v>0.3</v>
      </c>
      <c r="E11" s="132">
        <v>100</v>
      </c>
      <c r="F11" s="13" t="str">
        <f t="array" ref="F11">IF(AND(E11=MAX(E$7:E$37), F$7:F10&lt;&gt;"+"), "+", IF(AND(E11=MIN(E$7:E$37), F$7:F10&lt;&gt;"-"), "-", ""))</f>
        <v/>
      </c>
      <c r="G11" s="34">
        <f>IF(ISBLANK('CWMS Data'!$AY13), "", 'CWMS Data'!$AY13)</f>
        <v>19500</v>
      </c>
      <c r="H11" s="14" t="str">
        <f t="array" ref="H11">IF(AND(G11=MAX(G$7:G$37), H$7:H10&lt;&gt;"+"), "+", IF(AND(G11=MIN(G$7:G$37), H$7:H10&lt;&gt;"-"), "-", ""))</f>
        <v/>
      </c>
      <c r="I11" s="77">
        <f>IF(ISBLANK('CWMS Data'!$AZ13), "", 'CWMS Data'!$AZ13)</f>
        <v>10500</v>
      </c>
      <c r="J11" s="14" t="str">
        <f t="array" ref="J11">IF(AND(I11=MAX(I$7:I$37), J$7:J10&lt;&gt;"+"), "+", IF(AND(I11=MIN(I$7:I$37), J$7:J10&lt;&gt;"-"), "-", ""))</f>
        <v/>
      </c>
      <c r="K11" s="119">
        <f t="shared" si="0"/>
        <v>30000</v>
      </c>
      <c r="L11" s="13" t="str">
        <f t="array" ref="L11">IF(AND(K11=MAX(K$7:K$37), L$7:L10&lt;&gt;"+"), "+", IF(AND(K11=MIN(K$7:K$37), L$7:L10&lt;&gt;"-"), "-", ""))</f>
        <v/>
      </c>
      <c r="M11" s="34">
        <f>IF(ISBLANK('CWMS Data'!$BB13), "", 'CWMS Data'!$BB13)</f>
        <v>30000.000000000004</v>
      </c>
      <c r="N11" s="13" t="str">
        <f t="array" ref="N11">IF(AND(M11=MAX(M$7:M$37), N$7:N10&lt;&gt;"+"), "+", IF(AND(M11=MIN(M$7:M$37), N$7:N10&lt;&gt;"-"), "-", ""))</f>
        <v/>
      </c>
      <c r="O11" s="35"/>
      <c r="P11" s="35"/>
      <c r="Q11" s="35"/>
    </row>
    <row r="12" spans="1:32" ht="15" x14ac:dyDescent="0.25">
      <c r="A12" s="30">
        <f>IF(ISBLANK('CWMS Data'!$B14), "", 'CWMS Data'!$B14)</f>
        <v>44049</v>
      </c>
      <c r="B12" s="31">
        <f>IF(ISBLANK('CWMS Data'!$BE14), "", 'CWMS Data'!$BE14)</f>
        <v>1207.04</v>
      </c>
      <c r="C12" s="13" t="str">
        <f t="array" ref="C12">IF(AND(B12=MAX(B$7:B$37), C$7:C11&lt;&gt;"+"), "+", IF(AND(B12=MIN(B$7:B$37), C$7:C11&lt;&gt;"-"), "-", ""))</f>
        <v/>
      </c>
      <c r="D12" s="32">
        <f>IF(ISBLANK('CWMS Data'!$AX14), "", 'CWMS Data'!$AX14)</f>
        <v>0.2</v>
      </c>
      <c r="E12" s="132">
        <f>IF(ISBLANK('CWMS Data'!$AW14), "", 'CWMS Data'!$AW14)</f>
        <v>100</v>
      </c>
      <c r="F12" s="13" t="str">
        <f t="array" ref="F12">IF(AND(E12=MAX(E$7:E$37), F$7:F11&lt;&gt;"+"), "+", IF(AND(E12=MIN(E$7:E$37), F$7:F11&lt;&gt;"-"), "-", ""))</f>
        <v/>
      </c>
      <c r="G12" s="34">
        <f>IF(ISBLANK('CWMS Data'!$AY14), "", 'CWMS Data'!$AY14)</f>
        <v>23000.000000000004</v>
      </c>
      <c r="H12" s="14" t="str">
        <f t="array" ref="H12">IF(AND(G12=MAX(G$7:G$37), H$7:H11&lt;&gt;"+"), "+", IF(AND(G12=MIN(G$7:G$37), H$7:H11&lt;&gt;"-"), "-", ""))</f>
        <v/>
      </c>
      <c r="I12" s="77">
        <f>IF(ISBLANK('CWMS Data'!$AZ14), "", 'CWMS Data'!$AZ14)</f>
        <v>6900</v>
      </c>
      <c r="J12" s="14" t="str">
        <f t="array" ref="J12">IF(AND(I12=MAX(I$7:I$37), J$7:J11&lt;&gt;"+"), "+", IF(AND(I12=MIN(I$7:I$37), J$7:J11&lt;&gt;"-"), "-", ""))</f>
        <v/>
      </c>
      <c r="K12" s="119">
        <f t="shared" si="0"/>
        <v>29900.000000000004</v>
      </c>
      <c r="L12" s="13" t="str">
        <f t="array" ref="L12">IF(AND(K12=MAX(K$7:K$37), L$7:L11&lt;&gt;"+"), "+", IF(AND(K12=MIN(K$7:K$37), L$7:L11&lt;&gt;"-"), "-", ""))</f>
        <v/>
      </c>
      <c r="M12" s="34">
        <f>IF(ISBLANK('CWMS Data'!$BB14), "", 'CWMS Data'!$BB14)</f>
        <v>30000.000000000004</v>
      </c>
      <c r="N12" s="13" t="str">
        <f t="array" ref="N12">IF(AND(M12=MAX(M$7:M$37), N$7:N11&lt;&gt;"+"), "+", IF(AND(M12=MIN(M$7:M$37), N$7:N11&lt;&gt;"-"), "-", ""))</f>
        <v/>
      </c>
      <c r="O12" s="35"/>
      <c r="P12" s="35"/>
      <c r="Q12" s="35"/>
    </row>
    <row r="13" spans="1:32" ht="15" x14ac:dyDescent="0.25">
      <c r="A13" s="30">
        <f>IF(ISBLANK('CWMS Data'!$B15), "", 'CWMS Data'!$B15)</f>
        <v>44050</v>
      </c>
      <c r="B13" s="31">
        <f>IF(ISBLANK('CWMS Data'!$BE15), "", 'CWMS Data'!$BE15)</f>
        <v>1206.9399999999998</v>
      </c>
      <c r="C13" s="13" t="str">
        <f t="array" ref="C13">IF(AND(B13=MAX(B$7:B$37), C$7:C12&lt;&gt;"+"), "+", IF(AND(B13=MIN(B$7:B$37), C$7:C12&lt;&gt;"-"), "-", ""))</f>
        <v/>
      </c>
      <c r="D13" s="32">
        <f>IF(ISBLANK('CWMS Data'!$AX15), "", 'CWMS Data'!$AX15)</f>
        <v>0.2</v>
      </c>
      <c r="E13" s="143">
        <f>IF(ISBLANK('CWMS Data'!$AW15), "", 'CWMS Data'!$AW15)</f>
        <v>100</v>
      </c>
      <c r="F13" s="13" t="str">
        <f t="array" ref="F13">IF(AND(E13=MAX(E$7:E$37), F$7:F12&lt;&gt;"+"), "+", IF(AND(E13=MIN(E$7:E$37), F$7:F12&lt;&gt;"-"), "-", ""))</f>
        <v/>
      </c>
      <c r="G13" s="34">
        <f>IF(ISBLANK('CWMS Data'!$AY15), "", 'CWMS Data'!$AY15)</f>
        <v>30000.000000000004</v>
      </c>
      <c r="H13" s="14" t="str">
        <f t="array" ref="H13">IF(AND(G13=MAX(G$7:G$37), H$7:H12&lt;&gt;"+"), "+", IF(AND(G13=MIN(G$7:G$37), H$7:H12&lt;&gt;"-"), "-", ""))</f>
        <v/>
      </c>
      <c r="I13" s="77">
        <f>IF(ISBLANK('CWMS Data'!$AZ15), "", 'CWMS Data'!$AZ15)</f>
        <v>0</v>
      </c>
      <c r="J13" s="14" t="str">
        <f t="array" ref="J13">IF(AND(I13=MAX(I$7:I$37), J$7:J12&lt;&gt;"+"), "+", IF(AND(I13=MIN(I$7:I$37), J$7:J12&lt;&gt;"-"), "-", ""))</f>
        <v/>
      </c>
      <c r="K13" s="119">
        <f t="shared" si="0"/>
        <v>30000.000000000004</v>
      </c>
      <c r="L13" s="13" t="str">
        <f t="array" ref="L13">IF(AND(K13=MAX(K$7:K$37), L$7:L12&lt;&gt;"+"), "+", IF(AND(K13=MIN(K$7:K$37), L$7:L12&lt;&gt;"-"), "-", ""))</f>
        <v/>
      </c>
      <c r="M13" s="34">
        <f>IF(ISBLANK('CWMS Data'!$BB15), "", 'CWMS Data'!$BB15)</f>
        <v>29000.000000000004</v>
      </c>
      <c r="N13" s="13" t="str">
        <f t="array" ref="N13">IF(AND(M13=MAX(M$7:M$37), N$7:N12&lt;&gt;"+"), "+", IF(AND(M13=MIN(M$7:M$37), N$7:N12&lt;&gt;"-"), "-", ""))</f>
        <v/>
      </c>
      <c r="O13" s="35"/>
      <c r="P13" s="35"/>
      <c r="Q13" s="35"/>
    </row>
    <row r="14" spans="1:32" ht="15" x14ac:dyDescent="0.25">
      <c r="A14" s="30">
        <f>IF(ISBLANK('CWMS Data'!$B16), "", 'CWMS Data'!$B16)</f>
        <v>44051</v>
      </c>
      <c r="B14" s="31">
        <f>IF(ISBLANK('CWMS Data'!$BE16), "", 'CWMS Data'!$BE16)</f>
        <v>1206.83</v>
      </c>
      <c r="C14" s="13" t="str">
        <f t="array" ref="C14">IF(AND(B14=MAX(B$7:B$37), C$7:C13&lt;&gt;"+"), "+", IF(AND(B14=MIN(B$7:B$37), C$7:C13&lt;&gt;"-"), "-", ""))</f>
        <v/>
      </c>
      <c r="D14" s="32">
        <f>IF(ISBLANK('CWMS Data'!$AX16), "", 'CWMS Data'!$AX16)</f>
        <v>0.2</v>
      </c>
      <c r="E14" s="143">
        <f>IF(ISBLANK('CWMS Data'!$AW16), "", 'CWMS Data'!$AW16)</f>
        <v>100</v>
      </c>
      <c r="F14" s="13" t="str">
        <f t="array" ref="F14">IF(AND(E14=MAX(E$7:E$37), F$7:F13&lt;&gt;"+"), "+", IF(AND(E14=MIN(E$7:E$37), F$7:F13&lt;&gt;"-"), "-", ""))</f>
        <v/>
      </c>
      <c r="G14" s="34">
        <f>IF(ISBLANK('CWMS Data'!$AY16), "", 'CWMS Data'!$AY16)</f>
        <v>30000.000000000004</v>
      </c>
      <c r="H14" s="14" t="str">
        <f t="array" ref="H14">IF(AND(G14=MAX(G$7:G$37), H$7:H13&lt;&gt;"+"), "+", IF(AND(G14=MIN(G$7:G$37), H$7:H13&lt;&gt;"-"), "-", ""))</f>
        <v/>
      </c>
      <c r="I14" s="77">
        <f>IF(ISBLANK('CWMS Data'!$AZ16), "", 'CWMS Data'!$AZ16)</f>
        <v>0</v>
      </c>
      <c r="J14" s="14" t="str">
        <f t="array" ref="J14">IF(AND(I14=MAX(I$7:I$37), J$7:J13&lt;&gt;"+"), "+", IF(AND(I14=MIN(I$7:I$37), J$7:J13&lt;&gt;"-"), "-", ""))</f>
        <v/>
      </c>
      <c r="K14" s="119">
        <f t="shared" si="0"/>
        <v>30000.000000000004</v>
      </c>
      <c r="L14" s="13" t="str">
        <f t="array" ref="L14">IF(AND(K14=MAX(K$7:K$37), L$7:L13&lt;&gt;"+"), "+", IF(AND(K14=MIN(K$7:K$37), L$7:L13&lt;&gt;"-"), "-", ""))</f>
        <v/>
      </c>
      <c r="M14" s="34">
        <v>30000</v>
      </c>
      <c r="N14" s="13" t="str">
        <f t="array" ref="N14">IF(AND(M14=MAX(M$7:M$37), N$7:N13&lt;&gt;"+"), "+", IF(AND(M14=MIN(M$7:M$37), N$7:N13&lt;&gt;"-"), "-", ""))</f>
        <v/>
      </c>
      <c r="O14" s="35"/>
      <c r="P14" s="35"/>
      <c r="Q14" s="35"/>
    </row>
    <row r="15" spans="1:32" ht="15" x14ac:dyDescent="0.25">
      <c r="A15" s="30">
        <f>IF(ISBLANK('CWMS Data'!$B17), "", 'CWMS Data'!$B17)</f>
        <v>44052</v>
      </c>
      <c r="B15" s="31">
        <f>IF(ISBLANK('CWMS Data'!$BE17), "", 'CWMS Data'!$BE17)</f>
        <v>1206.96</v>
      </c>
      <c r="C15" s="13" t="str">
        <f t="array" ref="C15">IF(AND(B15=MAX(B$7:B$37), C$7:C14&lt;&gt;"+"), "+", IF(AND(B15=MIN(B$7:B$37), C$7:C14&lt;&gt;"-"), "-", ""))</f>
        <v/>
      </c>
      <c r="D15" s="32">
        <f>IF(ISBLANK('CWMS Data'!$AX17), "", 'CWMS Data'!$AX17)</f>
        <v>0.2</v>
      </c>
      <c r="E15" s="143">
        <f>IF(ISBLANK('CWMS Data'!$AW17), "", 'CWMS Data'!$AW17)</f>
        <v>100</v>
      </c>
      <c r="F15" s="13" t="str">
        <f t="array" ref="F15">IF(AND(E15=MAX(E$7:E$37), F$7:F14&lt;&gt;"+"), "+", IF(AND(E15=MIN(E$7:E$37), F$7:F14&lt;&gt;"-"), "-", ""))</f>
        <v/>
      </c>
      <c r="G15" s="34">
        <f>IF(ISBLANK('CWMS Data'!$AY17), "", 'CWMS Data'!$AY17)</f>
        <v>30000.000000000004</v>
      </c>
      <c r="H15" s="14" t="str">
        <f t="array" ref="H15">IF(AND(G15=MAX(G$7:G$37), H$7:H14&lt;&gt;"+"), "+", IF(AND(G15=MIN(G$7:G$37), H$7:H14&lt;&gt;"-"), "-", ""))</f>
        <v/>
      </c>
      <c r="I15" s="77">
        <f>IF(ISBLANK('CWMS Data'!$AZ17), "", 'CWMS Data'!$AZ17)</f>
        <v>0</v>
      </c>
      <c r="J15" s="14" t="str">
        <f t="array" ref="J15">IF(AND(I15=MAX(I$7:I$37), J$7:J14&lt;&gt;"+"), "+", IF(AND(I15=MIN(I$7:I$37), J$7:J14&lt;&gt;"-"), "-", ""))</f>
        <v/>
      </c>
      <c r="K15" s="119">
        <f t="shared" si="0"/>
        <v>30000.000000000004</v>
      </c>
      <c r="L15" s="13" t="str">
        <f t="array" ref="L15">IF(AND(K15=MAX(K$7:K$37), L$7:L14&lt;&gt;"+"), "+", IF(AND(K15=MIN(K$7:K$37), L$7:L14&lt;&gt;"-"), "-", ""))</f>
        <v/>
      </c>
      <c r="M15" s="34">
        <f>IF(ISBLANK('CWMS Data'!$BB17), "", 'CWMS Data'!$BB17)</f>
        <v>31000</v>
      </c>
      <c r="N15" s="13" t="str">
        <f t="array" ref="N15">IF(AND(M15=MAX(M$7:M$37), N$7:N14&lt;&gt;"+"), "+", IF(AND(M15=MIN(M$7:M$37), N$7:N14&lt;&gt;"-"), "-", ""))</f>
        <v>+</v>
      </c>
      <c r="O15" s="35"/>
      <c r="P15" s="35"/>
      <c r="Q15" s="35"/>
    </row>
    <row r="16" spans="1:32" ht="15" x14ac:dyDescent="0.25">
      <c r="A16" s="36">
        <f>IF(ISBLANK('CWMS Data'!$B18), "", 'CWMS Data'!$B18)</f>
        <v>44053</v>
      </c>
      <c r="B16" s="31">
        <f>IF(ISBLANK('CWMS Data'!$BE18), "", 'CWMS Data'!$BE18)</f>
        <v>1206.99</v>
      </c>
      <c r="C16" s="13" t="str">
        <f t="array" ref="C16">IF(AND(B16=MAX(B$7:B$37), C$7:C15&lt;&gt;"+"), "+", IF(AND(B16=MIN(B$7:B$37), C$7:C15&lt;&gt;"-"), "-", ""))</f>
        <v/>
      </c>
      <c r="D16" s="32">
        <f>IF(ISBLANK('CWMS Data'!$AX18), "", 'CWMS Data'!$AX18)</f>
        <v>0.49999999999999994</v>
      </c>
      <c r="E16" s="143">
        <v>100</v>
      </c>
      <c r="F16" s="13" t="str">
        <f t="array" ref="F16">IF(AND(E16=MAX(E$7:E$37), F$7:F15&lt;&gt;"+"), "+", IF(AND(E16=MIN(E$7:E$37), F$7:F15&lt;&gt;"-"), "-", ""))</f>
        <v/>
      </c>
      <c r="G16" s="34">
        <f>IF(ISBLANK('CWMS Data'!$AY18), "", 'CWMS Data'!$AY18)</f>
        <v>22800</v>
      </c>
      <c r="H16" s="14" t="str">
        <f t="array" ref="H16">IF(AND(G16=MAX(G$7:G$37), H$7:H15&lt;&gt;"+"), "+", IF(AND(G16=MIN(G$7:G$37), H$7:H15&lt;&gt;"-"), "-", ""))</f>
        <v/>
      </c>
      <c r="I16" s="77">
        <f>IF(ISBLANK('CWMS Data'!$AZ18), "", 'CWMS Data'!$AZ18)</f>
        <v>7200.0000000000009</v>
      </c>
      <c r="J16" s="14" t="str">
        <f t="array" ref="J16">IF(AND(I16=MAX(I$7:I$37), J$7:J15&lt;&gt;"+"), "+", IF(AND(I16=MIN(I$7:I$37), J$7:J15&lt;&gt;"-"), "-", ""))</f>
        <v/>
      </c>
      <c r="K16" s="119">
        <f t="shared" si="0"/>
        <v>30000</v>
      </c>
      <c r="L16" s="13" t="str">
        <f t="array" ref="L16">IF(AND(K16=MAX(K$7:K$37), L$7:L15&lt;&gt;"+"), "+", IF(AND(K16=MIN(K$7:K$37), L$7:L15&lt;&gt;"-"), "-", ""))</f>
        <v/>
      </c>
      <c r="M16" s="34">
        <f>IF(ISBLANK('CWMS Data'!$BB18), "", 'CWMS Data'!$BB18)</f>
        <v>30000.000000000004</v>
      </c>
      <c r="N16" s="13" t="str">
        <f t="array" ref="N16">IF(AND(M16=MAX(M$7:M$37), N$7:N15&lt;&gt;"+"), "+", IF(AND(M16=MIN(M$7:M$37), N$7:N15&lt;&gt;"-"), "-", ""))</f>
        <v/>
      </c>
      <c r="O16" s="35"/>
      <c r="P16" s="35"/>
      <c r="Q16" s="35"/>
    </row>
    <row r="17" spans="1:17" ht="15" x14ac:dyDescent="0.25">
      <c r="A17" s="30">
        <f>IF(ISBLANK('CWMS Data'!$B19), "", 'CWMS Data'!$B19)</f>
        <v>44054</v>
      </c>
      <c r="B17" s="31">
        <f>IF(ISBLANK('CWMS Data'!$BE19), "", 'CWMS Data'!$BE19)</f>
        <v>1206.9000000000001</v>
      </c>
      <c r="C17" s="13" t="str">
        <f t="array" ref="C17">IF(AND(B17=MAX(B$7:B$37), C$7:C16&lt;&gt;"+"), "+", IF(AND(B17=MIN(B$7:B$37), C$7:C16&lt;&gt;"-"), "-", ""))</f>
        <v/>
      </c>
      <c r="D17" s="32">
        <f>IF(ISBLANK('CWMS Data'!$AX19), "", 'CWMS Data'!$AX19)</f>
        <v>0.2</v>
      </c>
      <c r="E17" s="143">
        <f>IF(ISBLANK('CWMS Data'!$AW19), "", 'CWMS Data'!$AW19)</f>
        <v>100</v>
      </c>
      <c r="F17" s="13" t="str">
        <f t="array" ref="F17">IF(AND(E17=MAX(E$7:E$37), F$7:F16&lt;&gt;"+"), "+", IF(AND(E17=MIN(E$7:E$37), F$7:F16&lt;&gt;"-"), "-", ""))</f>
        <v/>
      </c>
      <c r="G17" s="34">
        <f>IF(ISBLANK('CWMS Data'!$AY19), "", 'CWMS Data'!$AY19)</f>
        <v>20100</v>
      </c>
      <c r="H17" s="14" t="str">
        <f t="array" ref="H17">IF(AND(G17=MAX(G$7:G$37), H$7:H16&lt;&gt;"+"), "+", IF(AND(G17=MIN(G$7:G$37), H$7:H16&lt;&gt;"-"), "-", ""))</f>
        <v/>
      </c>
      <c r="I17" s="77">
        <f>IF(ISBLANK('CWMS Data'!$AZ19), "", 'CWMS Data'!$AZ19)</f>
        <v>10000.000000000002</v>
      </c>
      <c r="J17" s="14" t="str">
        <f t="array" ref="J17">IF(AND(I17=MAX(I$7:I$37), J$7:J16&lt;&gt;"+"), "+", IF(AND(I17=MIN(I$7:I$37), J$7:J16&lt;&gt;"-"), "-", ""))</f>
        <v/>
      </c>
      <c r="K17" s="119">
        <f t="shared" si="0"/>
        <v>30100</v>
      </c>
      <c r="L17" s="13" t="str">
        <f t="array" ref="L17">IF(AND(K17=MAX(K$7:K$37), L$7:L16&lt;&gt;"+"), "+", IF(AND(K17=MIN(K$7:K$37), L$7:L16&lt;&gt;"-"), "-", ""))</f>
        <v/>
      </c>
      <c r="M17" s="34">
        <f>IF(ISBLANK('CWMS Data'!$BB19), "", 'CWMS Data'!$BB19)</f>
        <v>30000.000000000004</v>
      </c>
      <c r="N17" s="13" t="str">
        <f t="array" ref="N17">IF(AND(M17=MAX(M$7:M$37), N$7:N16&lt;&gt;"+"), "+", IF(AND(M17=MIN(M$7:M$37), N$7:N16&lt;&gt;"-"), "-", ""))</f>
        <v/>
      </c>
      <c r="O17" s="35"/>
      <c r="P17" s="35"/>
      <c r="Q17" s="35"/>
    </row>
    <row r="18" spans="1:17" ht="15" x14ac:dyDescent="0.25">
      <c r="A18" s="30">
        <f>IF(ISBLANK('CWMS Data'!$B20), "", 'CWMS Data'!$B20)</f>
        <v>44055</v>
      </c>
      <c r="B18" s="31">
        <f>IF(ISBLANK('CWMS Data'!$BE20), "", 'CWMS Data'!$BE20)</f>
        <v>1206.8699999999999</v>
      </c>
      <c r="C18" s="13" t="str">
        <f t="array" ref="C18">IF(AND(B18=MAX(B$7:B$37), C$7:C17&lt;&gt;"+"), "+", IF(AND(B18=MIN(B$7:B$37), C$7:C17&lt;&gt;"-"), "-", ""))</f>
        <v/>
      </c>
      <c r="D18" s="32">
        <f>IF(ISBLANK('CWMS Data'!$AX20), "", 'CWMS Data'!$AX20)</f>
        <v>0.2</v>
      </c>
      <c r="E18" s="143">
        <f>IF(ISBLANK('CWMS Data'!$AW20), "", 'CWMS Data'!$AW20)</f>
        <v>100</v>
      </c>
      <c r="F18" s="13" t="str">
        <f t="array" ref="F18">IF(AND(E18=MAX(E$7:E$37), F$7:F17&lt;&gt;"+"), "+", IF(AND(E18=MIN(E$7:E$37), F$7:F17&lt;&gt;"-"), "-", ""))</f>
        <v/>
      </c>
      <c r="G18" s="34">
        <f>IF(ISBLANK('CWMS Data'!$AY20), "", 'CWMS Data'!$AY20)</f>
        <v>23100</v>
      </c>
      <c r="H18" s="14" t="str">
        <f t="array" ref="H18">IF(AND(G18=MAX(G$7:G$37), H$7:H17&lt;&gt;"+"), "+", IF(AND(G18=MIN(G$7:G$37), H$7:H17&lt;&gt;"-"), "-", ""))</f>
        <v/>
      </c>
      <c r="I18" s="77">
        <f>IF(ISBLANK('CWMS Data'!$AZ20), "", 'CWMS Data'!$AZ20)</f>
        <v>7000.0000000000009</v>
      </c>
      <c r="J18" s="14" t="str">
        <f t="array" ref="J18">IF(AND(I18=MAX(I$7:I$37), J$7:J17&lt;&gt;"+"), "+", IF(AND(I18=MIN(I$7:I$37), J$7:J17&lt;&gt;"-"), "-", ""))</f>
        <v/>
      </c>
      <c r="K18" s="119">
        <f t="shared" si="0"/>
        <v>30100</v>
      </c>
      <c r="L18" s="13" t="str">
        <f t="array" ref="L18">IF(AND(K18=MAX(K$7:K$37), L$7:L17&lt;&gt;"+"), "+", IF(AND(K18=MIN(K$7:K$37), L$7:L17&lt;&gt;"-"), "-", ""))</f>
        <v/>
      </c>
      <c r="M18" s="34">
        <f>IF(ISBLANK('CWMS Data'!$BB20), "", 'CWMS Data'!$BB20)</f>
        <v>29000.000000000004</v>
      </c>
      <c r="N18" s="13" t="str">
        <f t="array" ref="N18">IF(AND(M18=MAX(M$7:M$37), N$7:N17&lt;&gt;"+"), "+", IF(AND(M18=MIN(M$7:M$37), N$7:N17&lt;&gt;"-"), "-", ""))</f>
        <v/>
      </c>
      <c r="O18" s="35"/>
      <c r="P18" s="35"/>
      <c r="Q18" s="35"/>
    </row>
    <row r="19" spans="1:17" ht="15" x14ac:dyDescent="0.25">
      <c r="A19" s="30">
        <f>IF(ISBLANK('CWMS Data'!$B21), "", 'CWMS Data'!$B21)</f>
        <v>44056</v>
      </c>
      <c r="B19" s="31">
        <f>IF(ISBLANK('CWMS Data'!$BE21), "", 'CWMS Data'!$BE21)</f>
        <v>1206.7899999999997</v>
      </c>
      <c r="C19" s="13" t="str">
        <f t="array" ref="C19">IF(AND(B19=MAX(B$7:B$37), C$7:C18&lt;&gt;"+"), "+", IF(AND(B19=MIN(B$7:B$37), C$7:C18&lt;&gt;"-"), "-", ""))</f>
        <v/>
      </c>
      <c r="D19" s="32">
        <f>IF(ISBLANK('CWMS Data'!$AX21), "", 'CWMS Data'!$AX21)</f>
        <v>0.2</v>
      </c>
      <c r="E19" s="143">
        <f>IF(ISBLANK('CWMS Data'!$AW21), "", 'CWMS Data'!$AW21)</f>
        <v>100</v>
      </c>
      <c r="F19" s="13" t="str">
        <f t="array" ref="F19">IF(AND(E19=MAX(E$7:E$37), F$7:F18&lt;&gt;"+"), "+", IF(AND(E19=MIN(E$7:E$37), F$7:F18&lt;&gt;"-"), "-", ""))</f>
        <v/>
      </c>
      <c r="G19" s="34">
        <f>IF(ISBLANK('CWMS Data'!$AY21), "", 'CWMS Data'!$AY21)</f>
        <v>29400</v>
      </c>
      <c r="H19" s="14" t="str">
        <f t="array" ref="H19">IF(AND(G19=MAX(G$7:G$37), H$7:H18&lt;&gt;"+"), "+", IF(AND(G19=MIN(G$7:G$37), H$7:H18&lt;&gt;"-"), "-", ""))</f>
        <v/>
      </c>
      <c r="I19" s="77">
        <f>IF(ISBLANK('CWMS Data'!$AZ21), "", 'CWMS Data'!$AZ21)</f>
        <v>600</v>
      </c>
      <c r="J19" s="14" t="str">
        <f t="array" ref="J19">IF(AND(I19=MAX(I$7:I$37), J$7:J18&lt;&gt;"+"), "+", IF(AND(I19=MIN(I$7:I$37), J$7:J18&lt;&gt;"-"), "-", ""))</f>
        <v/>
      </c>
      <c r="K19" s="119">
        <f t="shared" si="0"/>
        <v>30000</v>
      </c>
      <c r="L19" s="13" t="str">
        <f t="array" ref="L19">IF(AND(K19=MAX(K$7:K$37), L$7:L18&lt;&gt;"+"), "+", IF(AND(K19=MIN(K$7:K$37), L$7:L18&lt;&gt;"-"), "-", ""))</f>
        <v/>
      </c>
      <c r="M19" s="34">
        <f>IF(ISBLANK('CWMS Data'!$BB21), "", 'CWMS Data'!$BB21)</f>
        <v>29000.000000000004</v>
      </c>
      <c r="N19" s="13" t="str">
        <f t="array" ref="N19">IF(AND(M19=MAX(M$7:M$37), N$7:N18&lt;&gt;"+"), "+", IF(AND(M19=MIN(M$7:M$37), N$7:N18&lt;&gt;"-"), "-", ""))</f>
        <v/>
      </c>
      <c r="O19" s="35"/>
      <c r="P19" s="35"/>
      <c r="Q19" s="35"/>
    </row>
    <row r="20" spans="1:17" ht="15" x14ac:dyDescent="0.25">
      <c r="A20" s="30">
        <f>IF(ISBLANK('CWMS Data'!$B22), "", 'CWMS Data'!$B22)</f>
        <v>44057</v>
      </c>
      <c r="B20" s="31">
        <f>IF(ISBLANK('CWMS Data'!$BE22), "", 'CWMS Data'!$BE22)</f>
        <v>1206.75</v>
      </c>
      <c r="C20" s="13" t="str">
        <f t="array" ref="C20">IF(AND(B20=MAX(B$7:B$37), C$7:C19&lt;&gt;"+"), "+", IF(AND(B20=MIN(B$7:B$37), C$7:C19&lt;&gt;"-"), "-", ""))</f>
        <v/>
      </c>
      <c r="D20" s="32">
        <f>IF(ISBLANK('CWMS Data'!$AX22), "", 'CWMS Data'!$AX22)</f>
        <v>0.2</v>
      </c>
      <c r="E20" s="77">
        <f>IF(ISBLANK('CWMS Data'!$AW22), "", 'CWMS Data'!$AW22)</f>
        <v>100</v>
      </c>
      <c r="F20" s="13" t="str">
        <f t="array" ref="F20">IF(AND(E20=MAX(E$7:E$37), F$7:F19&lt;&gt;"+"), "+", IF(AND(E20=MIN(E$7:E$37), F$7:F19&lt;&gt;"-"), "-", ""))</f>
        <v/>
      </c>
      <c r="G20" s="34">
        <f>IF(ISBLANK('CWMS Data'!$AY22), "", 'CWMS Data'!$AY22)</f>
        <v>30000.000000000004</v>
      </c>
      <c r="H20" s="14" t="str">
        <f t="array" ref="H20">IF(AND(G20=MAX(G$7:G$37), H$7:H19&lt;&gt;"+"), "+", IF(AND(G20=MIN(G$7:G$37), H$7:H19&lt;&gt;"-"), "-", ""))</f>
        <v/>
      </c>
      <c r="I20" s="77">
        <f>IF(ISBLANK('CWMS Data'!$AZ22), "", 'CWMS Data'!$AZ22)</f>
        <v>0</v>
      </c>
      <c r="J20" s="14" t="str">
        <f t="array" ref="J20">IF(AND(I20=MAX(I$7:I$37), J$7:J19&lt;&gt;"+"), "+", IF(AND(I20=MIN(I$7:I$37), J$7:J19&lt;&gt;"-"), "-", ""))</f>
        <v/>
      </c>
      <c r="K20" s="119">
        <f t="shared" si="0"/>
        <v>30000.000000000004</v>
      </c>
      <c r="L20" s="13" t="str">
        <f t="array" ref="L20">IF(AND(K20=MAX(K$7:K$37), L$7:L19&lt;&gt;"+"), "+", IF(AND(K20=MIN(K$7:K$37), L$7:L19&lt;&gt;"-"), "-", ""))</f>
        <v/>
      </c>
      <c r="M20" s="34">
        <f>IF(ISBLANK('CWMS Data'!$BB22), "", 'CWMS Data'!$BB22)</f>
        <v>29000.000000000004</v>
      </c>
      <c r="N20" s="13" t="str">
        <f t="array" ref="N20">IF(AND(M20=MAX(M$7:M$37), N$7:N19&lt;&gt;"+"), "+", IF(AND(M20=MIN(M$7:M$37), N$7:N19&lt;&gt;"-"), "-", ""))</f>
        <v/>
      </c>
      <c r="O20" s="35"/>
      <c r="P20" s="35"/>
      <c r="Q20" s="35"/>
    </row>
    <row r="21" spans="1:17" ht="15" x14ac:dyDescent="0.25">
      <c r="A21" s="36">
        <f>IF(ISBLANK('CWMS Data'!$B23), "", 'CWMS Data'!$B23)</f>
        <v>44058</v>
      </c>
      <c r="B21" s="31">
        <f>IF(ISBLANK('CWMS Data'!$BE23), "", 'CWMS Data'!$BE23)</f>
        <v>1206.6399999999999</v>
      </c>
      <c r="C21" s="13" t="str">
        <f t="array" ref="C21">IF(AND(B21=MAX(B$7:B$37), C$7:C20&lt;&gt;"+"), "+", IF(AND(B21=MIN(B$7:B$37), C$7:C20&lt;&gt;"-"), "-", ""))</f>
        <v/>
      </c>
      <c r="D21" s="32">
        <f>IF(ISBLANK('CWMS Data'!$AX23), "", 'CWMS Data'!$AX23)</f>
        <v>0.2</v>
      </c>
      <c r="E21" s="77">
        <f>IF(ISBLANK('CWMS Data'!$AW23), "", 'CWMS Data'!$AW23)</f>
        <v>100</v>
      </c>
      <c r="F21" s="13" t="str">
        <f t="array" ref="F21">IF(AND(E21=MAX(E$7:E$37), F$7:F20&lt;&gt;"+"), "+", IF(AND(E21=MIN(E$7:E$37), F$7:F20&lt;&gt;"-"), "-", ""))</f>
        <v/>
      </c>
      <c r="G21" s="34">
        <f>IF(ISBLANK('CWMS Data'!$AY23), "", 'CWMS Data'!$AY23)</f>
        <v>30100</v>
      </c>
      <c r="H21" s="14" t="str">
        <f t="array" ref="H21">IF(AND(G21=MAX(G$7:G$37), H$7:H20&lt;&gt;"+"), "+", IF(AND(G21=MIN(G$7:G$37), H$7:H20&lt;&gt;"-"), "-", ""))</f>
        <v/>
      </c>
      <c r="I21" s="77">
        <f>IF(ISBLANK('CWMS Data'!$AZ23), "", 'CWMS Data'!$AZ23)</f>
        <v>0</v>
      </c>
      <c r="J21" s="14" t="str">
        <f t="array" ref="J21">IF(AND(I21=MAX(I$7:I$37), J$7:J20&lt;&gt;"+"), "+", IF(AND(I21=MIN(I$7:I$37), J$7:J20&lt;&gt;"-"), "-", ""))</f>
        <v/>
      </c>
      <c r="K21" s="119">
        <f t="shared" si="0"/>
        <v>30100</v>
      </c>
      <c r="L21" s="13" t="str">
        <f t="array" ref="L21">IF(AND(K21=MAX(K$7:K$37), L$7:L20&lt;&gt;"+"), "+", IF(AND(K21=MIN(K$7:K$37), L$7:L20&lt;&gt;"-"), "-", ""))</f>
        <v/>
      </c>
      <c r="M21" s="34">
        <f>IF(ISBLANK('CWMS Data'!$BB23), "", 'CWMS Data'!$BB23)</f>
        <v>29000.000000000004</v>
      </c>
      <c r="N21" s="13" t="str">
        <f t="array" ref="N21">IF(AND(M21=MAX(M$7:M$37), N$7:N20&lt;&gt;"+"), "+", IF(AND(M21=MIN(M$7:M$37), N$7:N20&lt;&gt;"-"), "-", ""))</f>
        <v/>
      </c>
      <c r="O21" s="35"/>
      <c r="P21" s="35"/>
      <c r="Q21" s="35"/>
    </row>
    <row r="22" spans="1:17" ht="15" x14ac:dyDescent="0.25">
      <c r="A22" s="30">
        <f>IF(ISBLANK('CWMS Data'!$B24), "", 'CWMS Data'!$B24)</f>
        <v>44059</v>
      </c>
      <c r="B22" s="31">
        <f>IF(ISBLANK('CWMS Data'!$BE24), "", 'CWMS Data'!$BE24)</f>
        <v>1206.6199999999997</v>
      </c>
      <c r="C22" s="13" t="str">
        <f t="array" ref="C22">IF(AND(B22=MAX(B$7:B$37), C$7:C21&lt;&gt;"+"), "+", IF(AND(B22=MIN(B$7:B$37), C$7:C21&lt;&gt;"-"), "-", ""))</f>
        <v/>
      </c>
      <c r="D22" s="32">
        <f>IF(ISBLANK('CWMS Data'!$AX24), "", 'CWMS Data'!$AX24)</f>
        <v>0.2</v>
      </c>
      <c r="E22" s="77">
        <f>IF(ISBLANK('CWMS Data'!$AW24), "", 'CWMS Data'!$AW24)</f>
        <v>100</v>
      </c>
      <c r="F22" s="13" t="str">
        <f t="array" ref="F22">IF(AND(E22=MAX(E$7:E$37), F$7:F21&lt;&gt;"+"), "+", IF(AND(E22=MIN(E$7:E$37), F$7:F21&lt;&gt;"-"), "-", ""))</f>
        <v/>
      </c>
      <c r="G22" s="34">
        <f>IF(ISBLANK('CWMS Data'!$AY24), "", 'CWMS Data'!$AY24)</f>
        <v>30000.000000000004</v>
      </c>
      <c r="H22" s="14" t="str">
        <f t="array" ref="H22">IF(AND(G22=MAX(G$7:G$37), H$7:H21&lt;&gt;"+"), "+", IF(AND(G22=MIN(G$7:G$37), H$7:H21&lt;&gt;"-"), "-", ""))</f>
        <v/>
      </c>
      <c r="I22" s="77">
        <f>IF(ISBLANK('CWMS Data'!$AZ24), "", 'CWMS Data'!$AZ24)</f>
        <v>0</v>
      </c>
      <c r="J22" s="14" t="str">
        <f t="array" ref="J22">IF(AND(I22=MAX(I$7:I$37), J$7:J21&lt;&gt;"+"), "+", IF(AND(I22=MIN(I$7:I$37), J$7:J21&lt;&gt;"-"), "-", ""))</f>
        <v/>
      </c>
      <c r="K22" s="119">
        <f t="shared" si="0"/>
        <v>30000.000000000004</v>
      </c>
      <c r="L22" s="13" t="str">
        <f t="array" ref="L22">IF(AND(K22=MAX(K$7:K$37), L$7:L21&lt;&gt;"+"), "+", IF(AND(K22=MIN(K$7:K$37), L$7:L21&lt;&gt;"-"), "-", ""))</f>
        <v/>
      </c>
      <c r="M22" s="34">
        <f>IF(ISBLANK('CWMS Data'!$BB24), "", 'CWMS Data'!$BB24)</f>
        <v>30000.000000000004</v>
      </c>
      <c r="N22" s="13" t="str">
        <f t="array" ref="N22">IF(AND(M22=MAX(M$7:M$37), N$7:N21&lt;&gt;"+"), "+", IF(AND(M22=MIN(M$7:M$37), N$7:N21&lt;&gt;"-"), "-", ""))</f>
        <v/>
      </c>
      <c r="O22" s="35"/>
      <c r="P22" s="35"/>
      <c r="Q22" s="35"/>
    </row>
    <row r="23" spans="1:17" ht="15" x14ac:dyDescent="0.25">
      <c r="A23" s="30">
        <f>IF(ISBLANK('CWMS Data'!$B25), "", 'CWMS Data'!$B25)</f>
        <v>44060</v>
      </c>
      <c r="B23" s="31">
        <f>IF(ISBLANK('CWMS Data'!$BE25), "", 'CWMS Data'!$BE25)</f>
        <v>1206.6199999999997</v>
      </c>
      <c r="C23" s="13" t="str">
        <f t="array" ref="C23">IF(AND(B23=MAX(B$7:B$37), C$7:C22&lt;&gt;"+"), "+", IF(AND(B23=MIN(B$7:B$37), C$7:C22&lt;&gt;"-"), "-", ""))</f>
        <v/>
      </c>
      <c r="D23" s="32">
        <f>IF(ISBLANK('CWMS Data'!$AX25), "", 'CWMS Data'!$AX25)</f>
        <v>0.2</v>
      </c>
      <c r="E23" s="77">
        <f>IF(ISBLANK('CWMS Data'!$AW25), "", 'CWMS Data'!$AW25)</f>
        <v>100</v>
      </c>
      <c r="F23" s="13" t="str">
        <f t="array" ref="F23">IF(AND(E23=MAX(E$7:E$37), F$7:F22&lt;&gt;"+"), "+", IF(AND(E23=MIN(E$7:E$37), F$7:F22&lt;&gt;"-"), "-", ""))</f>
        <v/>
      </c>
      <c r="G23" s="34">
        <f>IF(ISBLANK('CWMS Data'!$AY25), "", 'CWMS Data'!$AY25)</f>
        <v>30000.000000000004</v>
      </c>
      <c r="H23" s="14" t="str">
        <f t="array" ref="H23">IF(AND(G23=MAX(G$7:G$37), H$7:H22&lt;&gt;"+"), "+", IF(AND(G23=MIN(G$7:G$37), H$7:H22&lt;&gt;"-"), "-", ""))</f>
        <v/>
      </c>
      <c r="I23" s="77">
        <f>IF(ISBLANK('CWMS Data'!$AZ25), "", 'CWMS Data'!$AZ25)</f>
        <v>0</v>
      </c>
      <c r="J23" s="14" t="str">
        <f t="array" ref="J23">IF(AND(I23=MAX(I$7:I$37), J$7:J22&lt;&gt;"+"), "+", IF(AND(I23=MIN(I$7:I$37), J$7:J22&lt;&gt;"-"), "-", ""))</f>
        <v/>
      </c>
      <c r="K23" s="119">
        <f t="shared" si="0"/>
        <v>30000.000000000004</v>
      </c>
      <c r="L23" s="13" t="str">
        <f t="array" ref="L23">IF(AND(K23=MAX(K$7:K$37), L$7:L22&lt;&gt;"+"), "+", IF(AND(K23=MIN(K$7:K$37), L$7:L22&lt;&gt;"-"), "-", ""))</f>
        <v/>
      </c>
      <c r="M23" s="34">
        <f>IF(ISBLANK('CWMS Data'!$BB25), "", 'CWMS Data'!$BB25)</f>
        <v>30000.000000000004</v>
      </c>
      <c r="N23" s="13" t="str">
        <f t="array" ref="N23">IF(AND(M23=MAX(M$7:M$37), N$7:N22&lt;&gt;"+"), "+", IF(AND(M23=MIN(M$7:M$37), N$7:N22&lt;&gt;"-"), "-", ""))</f>
        <v/>
      </c>
      <c r="O23" s="35"/>
      <c r="P23" s="35"/>
      <c r="Q23" s="35"/>
    </row>
    <row r="24" spans="1:17" ht="15" x14ac:dyDescent="0.25">
      <c r="A24" s="30">
        <f>IF(ISBLANK('CWMS Data'!$B26), "", 'CWMS Data'!$B26)</f>
        <v>44061</v>
      </c>
      <c r="B24" s="31">
        <f>IF(ISBLANK('CWMS Data'!$BE26), "", 'CWMS Data'!$BE26)</f>
        <v>1206.57</v>
      </c>
      <c r="C24" s="13" t="str">
        <f t="array" ref="C24">IF(AND(B24=MAX(B$7:B$37), C$7:C23&lt;&gt;"+"), "+", IF(AND(B24=MIN(B$7:B$37), C$7:C23&lt;&gt;"-"), "-", ""))</f>
        <v/>
      </c>
      <c r="D24" s="32">
        <f>IF(ISBLANK('CWMS Data'!$AX26), "", 'CWMS Data'!$AX26)</f>
        <v>0.2</v>
      </c>
      <c r="E24" s="77">
        <f>IF(ISBLANK('CWMS Data'!$AW26), "", 'CWMS Data'!$AW26)</f>
        <v>100</v>
      </c>
      <c r="F24" s="13" t="str">
        <f t="array" ref="F24">IF(AND(E24=MAX(E$7:E$37), F$7:F23&lt;&gt;"+"), "+", IF(AND(E24=MIN(E$7:E$37), F$7:F23&lt;&gt;"-"), "-", ""))</f>
        <v/>
      </c>
      <c r="G24" s="34">
        <f>IF(ISBLANK('CWMS Data'!$AY26), "", 'CWMS Data'!$AY26)</f>
        <v>30000.000000000004</v>
      </c>
      <c r="H24" s="14" t="str">
        <f t="array" ref="H24">IF(AND(G24=MAX(G$7:G$37), H$7:H23&lt;&gt;"+"), "+", IF(AND(G24=MIN(G$7:G$37), H$7:H23&lt;&gt;"-"), "-", ""))</f>
        <v/>
      </c>
      <c r="I24" s="77">
        <f>IF(ISBLANK('CWMS Data'!$AZ26), "", 'CWMS Data'!$AZ26)</f>
        <v>0</v>
      </c>
      <c r="J24" s="14" t="str">
        <f t="array" ref="J24">IF(AND(I24=MAX(I$7:I$37), J$7:J23&lt;&gt;"+"), "+", IF(AND(I24=MIN(I$7:I$37), J$7:J23&lt;&gt;"-"), "-", ""))</f>
        <v/>
      </c>
      <c r="K24" s="119">
        <f t="shared" si="0"/>
        <v>30000.000000000004</v>
      </c>
      <c r="L24" s="13" t="str">
        <f t="array" ref="L24">IF(AND(K24=MAX(K$7:K$37), L$7:L23&lt;&gt;"+"), "+", IF(AND(K24=MIN(K$7:K$37), L$7:L23&lt;&gt;"-"), "-", ""))</f>
        <v/>
      </c>
      <c r="M24" s="34">
        <f>IF(ISBLANK('CWMS Data'!$BB26), "", 'CWMS Data'!$BB26)</f>
        <v>30000.000000000004</v>
      </c>
      <c r="N24" s="13" t="str">
        <f t="array" ref="N24">IF(AND(M24=MAX(M$7:M$37), N$7:N23&lt;&gt;"+"), "+", IF(AND(M24=MIN(M$7:M$37), N$7:N23&lt;&gt;"-"), "-", ""))</f>
        <v/>
      </c>
      <c r="O24" s="35"/>
      <c r="P24" s="35"/>
      <c r="Q24" s="35"/>
    </row>
    <row r="25" spans="1:17" ht="15" x14ac:dyDescent="0.25">
      <c r="A25" s="30">
        <f>IF(ISBLANK('CWMS Data'!$B27), "", 'CWMS Data'!$B27)</f>
        <v>44062</v>
      </c>
      <c r="B25" s="31">
        <f>IF(ISBLANK('CWMS Data'!$BE27), "", 'CWMS Data'!$BE27)</f>
        <v>1206.52</v>
      </c>
      <c r="C25" s="13" t="str">
        <f t="array" ref="C25">IF(AND(B25=MAX(B$7:B$37), C$7:C24&lt;&gt;"+"), "+", IF(AND(B25=MIN(B$7:B$37), C$7:C24&lt;&gt;"-"), "-", ""))</f>
        <v>-</v>
      </c>
      <c r="D25" s="32">
        <f>IF(ISBLANK('CWMS Data'!$AX27), "", 'CWMS Data'!$AX27)</f>
        <v>0.2</v>
      </c>
      <c r="E25" s="77">
        <f>IF(ISBLANK('CWMS Data'!$AW27), "", 'CWMS Data'!$AW27)</f>
        <v>100</v>
      </c>
      <c r="F25" s="13" t="str">
        <f t="array" ref="F25">IF(AND(E25=MAX(E$7:E$37), F$7:F24&lt;&gt;"+"), "+", IF(AND(E25=MIN(E$7:E$37), F$7:F24&lt;&gt;"-"), "-", ""))</f>
        <v/>
      </c>
      <c r="G25" s="34">
        <f>IF(ISBLANK('CWMS Data'!$AY27), "", 'CWMS Data'!$AY27)</f>
        <v>30000.000000000004</v>
      </c>
      <c r="H25" s="14" t="str">
        <f t="array" ref="H25">IF(AND(G25=MAX(G$7:G$37), H$7:H24&lt;&gt;"+"), "+", IF(AND(G25=MIN(G$7:G$37), H$7:H24&lt;&gt;"-"), "-", ""))</f>
        <v/>
      </c>
      <c r="I25" s="77">
        <f>IF(ISBLANK('CWMS Data'!$AZ27), "", 'CWMS Data'!$AZ27)</f>
        <v>0</v>
      </c>
      <c r="J25" s="14" t="str">
        <f t="array" ref="J25">IF(AND(I25=MAX(I$7:I$37), J$7:J24&lt;&gt;"+"), "+", IF(AND(I25=MIN(I$7:I$37), J$7:J24&lt;&gt;"-"), "-", ""))</f>
        <v/>
      </c>
      <c r="K25" s="119">
        <f t="shared" si="0"/>
        <v>30000.000000000004</v>
      </c>
      <c r="L25" s="13" t="str">
        <f t="array" ref="L25">IF(AND(K25=MAX(K$7:K$37), L$7:L24&lt;&gt;"+"), "+", IF(AND(K25=MIN(K$7:K$37), L$7:L24&lt;&gt;"-"), "-", ""))</f>
        <v/>
      </c>
      <c r="M25" s="34">
        <f>IF(ISBLANK('CWMS Data'!$BB27), "", 'CWMS Data'!$BB27)</f>
        <v>29000.000000000004</v>
      </c>
      <c r="N25" s="13" t="str">
        <f t="array" ref="N25">IF(AND(M25=MAX(M$7:M$37), N$7:N24&lt;&gt;"+"), "+", IF(AND(M25=MIN(M$7:M$37), N$7:N24&lt;&gt;"-"), "-", ""))</f>
        <v/>
      </c>
      <c r="O25" s="35"/>
      <c r="P25" s="35"/>
      <c r="Q25" s="35"/>
    </row>
    <row r="26" spans="1:17" ht="15" x14ac:dyDescent="0.25">
      <c r="A26" s="36">
        <f>IF(ISBLANK('CWMS Data'!$B28), "", 'CWMS Data'!$B28)</f>
        <v>44063</v>
      </c>
      <c r="B26" s="31">
        <f>IF(ISBLANK('CWMS Data'!$BE28), "", 'CWMS Data'!$BE28)</f>
        <v>1206.5299999999997</v>
      </c>
      <c r="C26" s="13" t="str">
        <f t="array" ref="C26">IF(AND(B26=MAX(B$7:B$37), C$7:C25&lt;&gt;"+"), "+", IF(AND(B26=MIN(B$7:B$37), C$7:C25&lt;&gt;"-"), "-", ""))</f>
        <v/>
      </c>
      <c r="D26" s="32">
        <f>IF(ISBLANK('CWMS Data'!$AX28), "", 'CWMS Data'!$AX28)</f>
        <v>0.2</v>
      </c>
      <c r="E26" s="77">
        <f>IF(ISBLANK('CWMS Data'!$AW28), "", 'CWMS Data'!$AW28)</f>
        <v>100</v>
      </c>
      <c r="F26" s="13" t="str">
        <f t="array" ref="F26">IF(AND(E26=MAX(E$7:E$37), F$7:F25&lt;&gt;"+"), "+", IF(AND(E26=MIN(E$7:E$37), F$7:F25&lt;&gt;"-"), "-", ""))</f>
        <v/>
      </c>
      <c r="G26" s="34">
        <f>IF(ISBLANK('CWMS Data'!$AY28), "", 'CWMS Data'!$AY28)</f>
        <v>30100</v>
      </c>
      <c r="H26" s="14" t="str">
        <f t="array" ref="H26">IF(AND(G26=MAX(G$7:G$37), H$7:H25&lt;&gt;"+"), "+", IF(AND(G26=MIN(G$7:G$37), H$7:H25&lt;&gt;"-"), "-", ""))</f>
        <v/>
      </c>
      <c r="I26" s="77">
        <f>IF(ISBLANK('CWMS Data'!$AZ28), "", 'CWMS Data'!$AZ28)</f>
        <v>0</v>
      </c>
      <c r="J26" s="14" t="str">
        <f t="array" ref="J26">IF(AND(I26=MAX(I$7:I$37), J$7:J25&lt;&gt;"+"), "+", IF(AND(I26=MIN(I$7:I$37), J$7:J25&lt;&gt;"-"), "-", ""))</f>
        <v/>
      </c>
      <c r="K26" s="119">
        <f t="shared" si="0"/>
        <v>30100</v>
      </c>
      <c r="L26" s="13" t="str">
        <f t="array" ref="L26">IF(AND(K26=MAX(K$7:K$37), L$7:L25&lt;&gt;"+"), "+", IF(AND(K26=MIN(K$7:K$37), L$7:L25&lt;&gt;"-"), "-", ""))</f>
        <v/>
      </c>
      <c r="M26" s="34">
        <f>IF(ISBLANK('CWMS Data'!$BB28), "", 'CWMS Data'!$BB28)</f>
        <v>30000.000000000004</v>
      </c>
      <c r="N26" s="13" t="str">
        <f t="array" ref="N26">IF(AND(M26=MAX(M$7:M$37), N$7:N25&lt;&gt;"+"), "+", IF(AND(M26=MIN(M$7:M$37), N$7:N25&lt;&gt;"-"), "-", ""))</f>
        <v/>
      </c>
      <c r="O26" s="35"/>
      <c r="P26" s="35"/>
      <c r="Q26" s="35"/>
    </row>
    <row r="27" spans="1:17" ht="15" x14ac:dyDescent="0.25">
      <c r="A27" s="30">
        <f>IF(ISBLANK('CWMS Data'!$B29), "", 'CWMS Data'!$B29)</f>
        <v>44064</v>
      </c>
      <c r="B27" s="31">
        <f>IF(ISBLANK('CWMS Data'!$BE29), "", 'CWMS Data'!$BE29)</f>
        <v>1206.57</v>
      </c>
      <c r="C27" s="13" t="str">
        <f t="array" ref="C27">IF(AND(B27=MAX(B$7:B$37), C$7:C26&lt;&gt;"+"), "+", IF(AND(B27=MIN(B$7:B$37), C$7:C26&lt;&gt;"-"), "-", ""))</f>
        <v/>
      </c>
      <c r="D27" s="32">
        <f>IF(ISBLANK('CWMS Data'!$AX29), "", 'CWMS Data'!$AX29)</f>
        <v>0.2</v>
      </c>
      <c r="E27" s="77">
        <f>IF(ISBLANK('CWMS Data'!$AW29), "", 'CWMS Data'!$AW29)</f>
        <v>100</v>
      </c>
      <c r="F27" s="13" t="str">
        <f t="array" ref="F27">IF(AND(E27=MAX(E$7:E$37), F$7:F26&lt;&gt;"+"), "+", IF(AND(E27=MIN(E$7:E$37), F$7:F26&lt;&gt;"-"), "-", ""))</f>
        <v/>
      </c>
      <c r="G27" s="34">
        <f>IF(ISBLANK('CWMS Data'!$AY29), "", 'CWMS Data'!$AY29)</f>
        <v>30000.000000000004</v>
      </c>
      <c r="H27" s="14" t="str">
        <f t="array" ref="H27">IF(AND(G27=MAX(G$7:G$37), H$7:H26&lt;&gt;"+"), "+", IF(AND(G27=MIN(G$7:G$37), H$7:H26&lt;&gt;"-"), "-", ""))</f>
        <v/>
      </c>
      <c r="I27" s="77">
        <f>IF(ISBLANK('CWMS Data'!$AZ29), "", 'CWMS Data'!$AZ29)</f>
        <v>0</v>
      </c>
      <c r="J27" s="14" t="str">
        <f t="array" ref="J27">IF(AND(I27=MAX(I$7:I$37), J$7:J26&lt;&gt;"+"), "+", IF(AND(I27=MIN(I$7:I$37), J$7:J26&lt;&gt;"-"), "-", ""))</f>
        <v/>
      </c>
      <c r="K27" s="119">
        <f t="shared" si="0"/>
        <v>30000.000000000004</v>
      </c>
      <c r="L27" s="13" t="str">
        <f t="array" ref="L27">IF(AND(K27=MAX(K$7:K$37), L$7:L26&lt;&gt;"+"), "+", IF(AND(K27=MIN(K$7:K$37), L$7:L26&lt;&gt;"-"), "-", ""))</f>
        <v/>
      </c>
      <c r="M27" s="34">
        <f>IF(ISBLANK('CWMS Data'!$BB29), "", 'CWMS Data'!$BB29)</f>
        <v>31000</v>
      </c>
      <c r="N27" s="13" t="str">
        <f t="array" ref="N27">IF(AND(M27=MAX(M$7:M$37), N$7:N26&lt;&gt;"+"), "+", IF(AND(M27=MIN(M$7:M$37), N$7:N26&lt;&gt;"-"), "-", ""))</f>
        <v/>
      </c>
      <c r="O27" s="35"/>
      <c r="P27" s="35"/>
      <c r="Q27" s="35"/>
    </row>
    <row r="28" spans="1:17" ht="15" x14ac:dyDescent="0.25">
      <c r="A28" s="30">
        <f>IF(ISBLANK('CWMS Data'!$B30), "", 'CWMS Data'!$B30)</f>
        <v>44065</v>
      </c>
      <c r="B28" s="31">
        <f>IF(ISBLANK('CWMS Data'!$BE30), "", 'CWMS Data'!$BE30)</f>
        <v>1206.57</v>
      </c>
      <c r="C28" s="13" t="str">
        <f t="array" ref="C28">IF(AND(B28=MAX(B$7:B$37), C$7:C27&lt;&gt;"+"), "+", IF(AND(B28=MIN(B$7:B$37), C$7:C27&lt;&gt;"-"), "-", ""))</f>
        <v/>
      </c>
      <c r="D28" s="32">
        <f>IF(ISBLANK('CWMS Data'!$AX30), "", 'CWMS Data'!$AX30)</f>
        <v>0.2</v>
      </c>
      <c r="E28" s="77">
        <f>IF(ISBLANK('CWMS Data'!$AW30), "", 'CWMS Data'!$AW30)</f>
        <v>100</v>
      </c>
      <c r="F28" s="13" t="str">
        <f t="array" ref="F28">IF(AND(E28=MAX(E$7:E$37), F$7:F27&lt;&gt;"+"), "+", IF(AND(E28=MIN(E$7:E$37), F$7:F27&lt;&gt;"-"), "-", ""))</f>
        <v/>
      </c>
      <c r="G28" s="34">
        <f>IF(ISBLANK('CWMS Data'!$AY30), "", 'CWMS Data'!$AY30)</f>
        <v>30000.000000000004</v>
      </c>
      <c r="H28" s="14" t="str">
        <f t="array" ref="H28">IF(AND(G28=MAX(G$7:G$37), H$7:H27&lt;&gt;"+"), "+", IF(AND(G28=MIN(G$7:G$37), H$7:H27&lt;&gt;"-"), "-", ""))</f>
        <v/>
      </c>
      <c r="I28" s="77">
        <f>IF(ISBLANK('CWMS Data'!$AZ30), "", 'CWMS Data'!$AZ30)</f>
        <v>0</v>
      </c>
      <c r="J28" s="14" t="str">
        <f t="array" ref="J28">IF(AND(I28=MAX(I$7:I$37), J$7:J27&lt;&gt;"+"), "+", IF(AND(I28=MIN(I$7:I$37), J$7:J27&lt;&gt;"-"), "-", ""))</f>
        <v/>
      </c>
      <c r="K28" s="119">
        <f t="shared" si="0"/>
        <v>30000.000000000004</v>
      </c>
      <c r="L28" s="13" t="str">
        <f t="array" ref="L28">IF(AND(K28=MAX(K$7:K$37), L$7:L27&lt;&gt;"+"), "+", IF(AND(K28=MIN(K$7:K$37), L$7:L27&lt;&gt;"-"), "-", ""))</f>
        <v/>
      </c>
      <c r="M28" s="34">
        <f>IF(ISBLANK('CWMS Data'!$BB30), "", 'CWMS Data'!$BB30)</f>
        <v>30000.000000000004</v>
      </c>
      <c r="N28" s="13" t="str">
        <f t="array" ref="N28">IF(AND(M28=MAX(M$7:M$37), N$7:N27&lt;&gt;"+"), "+", IF(AND(M28=MIN(M$7:M$37), N$7:N27&lt;&gt;"-"), "-", ""))</f>
        <v/>
      </c>
      <c r="O28" s="35"/>
      <c r="P28" s="35"/>
      <c r="Q28" s="35"/>
    </row>
    <row r="29" spans="1:17" ht="15" x14ac:dyDescent="0.25">
      <c r="A29" s="30">
        <f>IF(ISBLANK('CWMS Data'!$B31), "", 'CWMS Data'!$B31)</f>
        <v>44066</v>
      </c>
      <c r="B29" s="31">
        <f>IF(ISBLANK('CWMS Data'!$BE31), "", 'CWMS Data'!$BE31)</f>
        <v>1206.58</v>
      </c>
      <c r="C29" s="13" t="str">
        <f t="array" ref="C29">IF(AND(B29=MAX(B$7:B$37), C$7:C28&lt;&gt;"+"), "+", IF(AND(B29=MIN(B$7:B$37), C$7:C28&lt;&gt;"-"), "-", ""))</f>
        <v/>
      </c>
      <c r="D29" s="32">
        <f>IF(ISBLANK('CWMS Data'!$AX31), "", 'CWMS Data'!$AX31)</f>
        <v>0.2</v>
      </c>
      <c r="E29" s="131">
        <f>IF(ISBLANK('CWMS Data'!$AW31), "", 'CWMS Data'!$AW31)</f>
        <v>100</v>
      </c>
      <c r="F29" s="13" t="str">
        <f t="array" ref="F29">IF(AND(E29=MAX(E$7:E$37), F$7:F28&lt;&gt;"+"), "+", IF(AND(E29=MIN(E$7:E$37), F$7:F28&lt;&gt;"-"), "-", ""))</f>
        <v/>
      </c>
      <c r="G29" s="34">
        <f>IF(ISBLANK('CWMS Data'!$AY31), "", 'CWMS Data'!$AY31)</f>
        <v>29900</v>
      </c>
      <c r="H29" s="14" t="str">
        <f t="array" ref="H29">IF(AND(G29=MAX(G$7:G$37), H$7:H28&lt;&gt;"+"), "+", IF(AND(G29=MIN(G$7:G$37), H$7:H28&lt;&gt;"-"), "-", ""))</f>
        <v/>
      </c>
      <c r="I29" s="77">
        <f>IF(ISBLANK('CWMS Data'!$AZ31), "", 'CWMS Data'!$AZ31)</f>
        <v>0</v>
      </c>
      <c r="J29" s="14" t="str">
        <f t="array" ref="J29">IF(AND(I29=MAX(I$7:I$37), J$7:J28&lt;&gt;"+"), "+", IF(AND(I29=MIN(I$7:I$37), J$7:J28&lt;&gt;"-"), "-", ""))</f>
        <v/>
      </c>
      <c r="K29" s="119">
        <f t="shared" si="0"/>
        <v>29900</v>
      </c>
      <c r="L29" s="13" t="str">
        <f t="array" ref="L29">IF(AND(K29=MAX(K$7:K$37), L$7:L28&lt;&gt;"+"), "+", IF(AND(K29=MIN(K$7:K$37), L$7:L28&lt;&gt;"-"), "-", ""))</f>
        <v/>
      </c>
      <c r="M29" s="34">
        <f>IF(ISBLANK('CWMS Data'!$BB31), "", 'CWMS Data'!$BB31)</f>
        <v>30000.000000000004</v>
      </c>
      <c r="N29" s="13" t="str">
        <f t="array" ref="N29">IF(AND(M29=MAX(M$7:M$37), N$7:N28&lt;&gt;"+"), "+", IF(AND(M29=MIN(M$7:M$37), N$7:N28&lt;&gt;"-"), "-", ""))</f>
        <v/>
      </c>
      <c r="O29" s="35"/>
      <c r="P29" s="35"/>
      <c r="Q29" s="35"/>
    </row>
    <row r="30" spans="1:17" ht="15" x14ac:dyDescent="0.25">
      <c r="A30" s="30">
        <f>IF(ISBLANK('CWMS Data'!$B32), "", 'CWMS Data'!$B32)</f>
        <v>44067</v>
      </c>
      <c r="B30" s="31">
        <f>IF(ISBLANK('CWMS Data'!$BE32), "", 'CWMS Data'!$BE32)</f>
        <v>1206.5999999999999</v>
      </c>
      <c r="C30" s="13" t="str">
        <f t="array" ref="C30">IF(AND(B30=MAX(B$7:B$37), C$7:C29&lt;&gt;"+"), "+", IF(AND(B30=MIN(B$7:B$37), C$7:C29&lt;&gt;"-"), "-", ""))</f>
        <v/>
      </c>
      <c r="D30" s="32">
        <f>IF(ISBLANK('CWMS Data'!$AX32), "", 'CWMS Data'!$AX32)</f>
        <v>0.2</v>
      </c>
      <c r="E30" s="137">
        <f>IF(ISBLANK('CWMS Data'!$AW32), "", 'CWMS Data'!$AW32)</f>
        <v>100</v>
      </c>
      <c r="F30" s="13" t="str">
        <f t="array" ref="F30">IF(AND(E30=MAX(E$7:E$37), F$7:F29&lt;&gt;"+"), "+", IF(AND(E30=MIN(E$7:E$37), F$7:F29&lt;&gt;"-"), "-", ""))</f>
        <v/>
      </c>
      <c r="G30" s="34">
        <f>IF(ISBLANK('CWMS Data'!$AY32), "", 'CWMS Data'!$AY32)</f>
        <v>30000.000000000004</v>
      </c>
      <c r="H30" s="14" t="str">
        <f t="array" ref="H30">IF(AND(G30=MAX(G$7:G$37), H$7:H29&lt;&gt;"+"), "+", IF(AND(G30=MIN(G$7:G$37), H$7:H29&lt;&gt;"-"), "-", ""))</f>
        <v/>
      </c>
      <c r="I30" s="77">
        <f>IF(ISBLANK('CWMS Data'!$AZ32), "", 'CWMS Data'!$AZ32)</f>
        <v>0</v>
      </c>
      <c r="J30" s="14" t="str">
        <f t="array" ref="J30">IF(AND(I30=MAX(I$7:I$37), J$7:J29&lt;&gt;"+"), "+", IF(AND(I30=MIN(I$7:I$37), J$7:J29&lt;&gt;"-"), "-", ""))</f>
        <v/>
      </c>
      <c r="K30" s="119">
        <f t="shared" si="0"/>
        <v>30000.000000000004</v>
      </c>
      <c r="L30" s="13" t="str">
        <f t="array" ref="L30">IF(AND(K30=MAX(K$7:K$37), L$7:L29&lt;&gt;"+"), "+", IF(AND(K30=MIN(K$7:K$37), L$7:L29&lt;&gt;"-"), "-", ""))</f>
        <v/>
      </c>
      <c r="M30" s="34">
        <f>IF(ISBLANK('CWMS Data'!$BB32), "", 'CWMS Data'!$BB32)</f>
        <v>30000.000000000004</v>
      </c>
      <c r="N30" s="13" t="str">
        <f t="array" ref="N30">IF(AND(M30=MAX(M$7:M$37), N$7:N29&lt;&gt;"+"), "+", IF(AND(M30=MIN(M$7:M$37), N$7:N29&lt;&gt;"-"), "-", ""))</f>
        <v/>
      </c>
      <c r="O30" s="35"/>
      <c r="P30" s="35"/>
      <c r="Q30" s="35"/>
    </row>
    <row r="31" spans="1:17" ht="15" x14ac:dyDescent="0.25">
      <c r="A31" s="36">
        <f>IF(ISBLANK('CWMS Data'!$B33), "", 'CWMS Data'!$B33)</f>
        <v>44068</v>
      </c>
      <c r="B31" s="31">
        <f>IF(ISBLANK('CWMS Data'!$BE33), "", 'CWMS Data'!$BE33)</f>
        <v>1206.6199999999997</v>
      </c>
      <c r="C31" s="13" t="str">
        <f t="array" ref="C31">IF(AND(B31=MAX(B$7:B$37), C$7:C30&lt;&gt;"+"), "+", IF(AND(B31=MIN(B$7:B$37), C$7:C30&lt;&gt;"-"), "-", ""))</f>
        <v/>
      </c>
      <c r="D31" s="32">
        <f>IF(ISBLANK('CWMS Data'!$AX33), "", 'CWMS Data'!$AX33)</f>
        <v>0.2</v>
      </c>
      <c r="E31" s="137">
        <f>IF(ISBLANK('CWMS Data'!$AW33), "", 'CWMS Data'!$AW33)</f>
        <v>100</v>
      </c>
      <c r="F31" s="13" t="str">
        <f t="array" ref="F31">IF(AND(E31=MAX(E$7:E$37), F$7:F30&lt;&gt;"+"), "+", IF(AND(E31=MIN(E$7:E$37), F$7:F30&lt;&gt;"-"), "-", ""))</f>
        <v/>
      </c>
      <c r="G31" s="34">
        <f>IF(ISBLANK('CWMS Data'!$AY33), "", 'CWMS Data'!$AY33)</f>
        <v>30000.000000000004</v>
      </c>
      <c r="H31" s="14" t="str">
        <f t="array" ref="H31">IF(AND(G31=MAX(G$7:G$37), H$7:H30&lt;&gt;"+"), "+", IF(AND(G31=MIN(G$7:G$37), H$7:H30&lt;&gt;"-"), "-", ""))</f>
        <v/>
      </c>
      <c r="I31" s="77">
        <f>IF(ISBLANK('CWMS Data'!$AZ33), "", 'CWMS Data'!$AZ33)</f>
        <v>0</v>
      </c>
      <c r="J31" s="14" t="str">
        <f t="array" ref="J31">IF(AND(I31=MAX(I$7:I$37), J$7:J30&lt;&gt;"+"), "+", IF(AND(I31=MIN(I$7:I$37), J$7:J30&lt;&gt;"-"), "-", ""))</f>
        <v/>
      </c>
      <c r="K31" s="119">
        <f t="shared" si="0"/>
        <v>30000.000000000004</v>
      </c>
      <c r="L31" s="13" t="str">
        <f t="array" ref="L31">IF(AND(K31=MAX(K$7:K$37), L$7:L30&lt;&gt;"+"), "+", IF(AND(K31=MIN(K$7:K$37), L$7:L30&lt;&gt;"-"), "-", ""))</f>
        <v/>
      </c>
      <c r="M31" s="34">
        <f>IF(ISBLANK('CWMS Data'!$BB33), "", 'CWMS Data'!$BB33)</f>
        <v>30000.000000000004</v>
      </c>
      <c r="N31" s="13" t="str">
        <f t="array" ref="N31">IF(AND(M31=MAX(M$7:M$37), N$7:N30&lt;&gt;"+"), "+", IF(AND(M31=MIN(M$7:M$37), N$7:N30&lt;&gt;"-"), "-", ""))</f>
        <v/>
      </c>
      <c r="O31" s="35"/>
      <c r="P31" s="35"/>
      <c r="Q31" s="35"/>
    </row>
    <row r="32" spans="1:17" ht="15" x14ac:dyDescent="0.25">
      <c r="A32" s="30">
        <f>IF(ISBLANK('CWMS Data'!$B34), "", 'CWMS Data'!$B34)</f>
        <v>44069</v>
      </c>
      <c r="B32" s="31">
        <f>IF(ISBLANK('CWMS Data'!$BE34), "", 'CWMS Data'!$BE34)</f>
        <v>1206.72</v>
      </c>
      <c r="C32" s="13" t="str">
        <f t="array" ref="C32">IF(AND(B32=MAX(B$7:B$37), C$7:C31&lt;&gt;"+"), "+", IF(AND(B32=MIN(B$7:B$37), C$7:C31&lt;&gt;"-"), "-", ""))</f>
        <v/>
      </c>
      <c r="D32" s="32">
        <f>IF(ISBLANK('CWMS Data'!$AX34), "", 'CWMS Data'!$AX34)</f>
        <v>0.2</v>
      </c>
      <c r="E32" s="137">
        <f>IF(ISBLANK('CWMS Data'!$AW34), "", 'CWMS Data'!$AW34)</f>
        <v>100</v>
      </c>
      <c r="F32" s="13" t="str">
        <f t="array" ref="F32">IF(AND(E32=MAX(E$7:E$37), F$7:F31&lt;&gt;"+"), "+", IF(AND(E32=MIN(E$7:E$37), F$7:F31&lt;&gt;"-"), "-", ""))</f>
        <v/>
      </c>
      <c r="G32" s="34">
        <f>IF(ISBLANK('CWMS Data'!$AY34), "", 'CWMS Data'!$AY34)</f>
        <v>30000.000000000004</v>
      </c>
      <c r="H32" s="14" t="str">
        <f t="array" ref="H32">IF(AND(G32=MAX(G$7:G$37), H$7:H31&lt;&gt;"+"), "+", IF(AND(G32=MIN(G$7:G$37), H$7:H31&lt;&gt;"-"), "-", ""))</f>
        <v/>
      </c>
      <c r="I32" s="77">
        <f>IF(ISBLANK('CWMS Data'!$AZ34), "", 'CWMS Data'!$AZ34)</f>
        <v>0</v>
      </c>
      <c r="J32" s="14" t="str">
        <f t="array" ref="J32">IF(AND(I32=MAX(I$7:I$37), J$7:J31&lt;&gt;"+"), "+", IF(AND(I32=MIN(I$7:I$37), J$7:J31&lt;&gt;"-"), "-", ""))</f>
        <v/>
      </c>
      <c r="K32" s="119">
        <f t="shared" si="0"/>
        <v>30000.000000000004</v>
      </c>
      <c r="L32" s="13" t="str">
        <f t="array" ref="L32">IF(AND(K32=MAX(K$7:K$37), L$7:L31&lt;&gt;"+"), "+", IF(AND(K32=MIN(K$7:K$37), L$7:L31&lt;&gt;"-"), "-", ""))</f>
        <v/>
      </c>
      <c r="M32" s="34">
        <f>IF(ISBLANK('CWMS Data'!$BB34), "", 'CWMS Data'!$BB34)</f>
        <v>31000</v>
      </c>
      <c r="N32" s="13" t="str">
        <f t="array" ref="N32">IF(AND(M32=MAX(M$7:M$37), N$7:N31&lt;&gt;"+"), "+", IF(AND(M32=MIN(M$7:M$37), N$7:N31&lt;&gt;"-"), "-", ""))</f>
        <v/>
      </c>
      <c r="O32" s="35"/>
      <c r="P32" s="35"/>
      <c r="Q32" s="35"/>
    </row>
    <row r="33" spans="1:17" ht="15" x14ac:dyDescent="0.25">
      <c r="A33" s="30">
        <f>IF(ISBLANK('CWMS Data'!$B35), "", 'CWMS Data'!$B35)</f>
        <v>44070</v>
      </c>
      <c r="B33" s="31">
        <f>IF(ISBLANK('CWMS Data'!$BE35), "", 'CWMS Data'!$BE35)</f>
        <v>1206.72</v>
      </c>
      <c r="C33" s="13" t="str">
        <f t="array" ref="C33">IF(AND(B33=MAX(B$7:B$37), C$7:C32&lt;&gt;"+"), "+", IF(AND(B33=MIN(B$7:B$37), C$7:C32&lt;&gt;"-"), "-", ""))</f>
        <v/>
      </c>
      <c r="D33" s="32">
        <f>IF(ISBLANK('CWMS Data'!$AX35), "", 'CWMS Data'!$AX35)</f>
        <v>0.2</v>
      </c>
      <c r="E33" s="137">
        <f>IF(ISBLANK('CWMS Data'!$AW35), "", 'CWMS Data'!$AW35)</f>
        <v>100</v>
      </c>
      <c r="F33" s="13" t="str">
        <f t="array" ref="F33">IF(AND(E33=MAX(E$7:E$37), F$7:F32&lt;&gt;"+"), "+", IF(AND(E33=MIN(E$7:E$37), F$7:F32&lt;&gt;"-"), "-", ""))</f>
        <v/>
      </c>
      <c r="G33" s="34">
        <f>IF(ISBLANK('CWMS Data'!$AY35), "", 'CWMS Data'!$AY35)</f>
        <v>30000.000000000004</v>
      </c>
      <c r="H33" s="14" t="str">
        <f t="array" ref="H33">IF(AND(G33=MAX(G$7:G$37), H$7:H32&lt;&gt;"+"), "+", IF(AND(G33=MIN(G$7:G$37), H$7:H32&lt;&gt;"-"), "-", ""))</f>
        <v/>
      </c>
      <c r="I33" s="77">
        <f>IF(ISBLANK('CWMS Data'!$AZ35), "", 'CWMS Data'!$AZ35)</f>
        <v>0</v>
      </c>
      <c r="J33" s="14" t="str">
        <f t="array" ref="J33">IF(AND(I33=MAX(I$7:I$37), J$7:J32&lt;&gt;"+"), "+", IF(AND(I33=MIN(I$7:I$37), J$7:J32&lt;&gt;"-"), "-", ""))</f>
        <v/>
      </c>
      <c r="K33" s="119">
        <f t="shared" si="0"/>
        <v>30000.000000000004</v>
      </c>
      <c r="L33" s="13" t="str">
        <f t="array" ref="L33">IF(AND(K33=MAX(K$7:K$37), L$7:L32&lt;&gt;"+"), "+", IF(AND(K33=MIN(K$7:K$37), L$7:L32&lt;&gt;"-"), "-", ""))</f>
        <v/>
      </c>
      <c r="M33" s="34">
        <v>31000</v>
      </c>
      <c r="N33" s="13" t="str">
        <f t="array" ref="N33">IF(AND(M33=MAX(M$7:M$37), N$7:N32&lt;&gt;"+"), "+", IF(AND(M33=MIN(M$7:M$37), N$7:N32&lt;&gt;"-"), "-", ""))</f>
        <v/>
      </c>
      <c r="O33" s="35"/>
      <c r="P33" s="35"/>
      <c r="Q33" s="35"/>
    </row>
    <row r="34" spans="1:17" ht="15" x14ac:dyDescent="0.25">
      <c r="A34" s="30">
        <f>IF(ISBLANK('CWMS Data'!$B36), "", 'CWMS Data'!$B36)</f>
        <v>44071</v>
      </c>
      <c r="B34" s="31">
        <f>IF(ISBLANK('CWMS Data'!$BE36), "", 'CWMS Data'!$BE36)</f>
        <v>1206.75</v>
      </c>
      <c r="C34" s="13" t="str">
        <f t="array" ref="C34">IF(AND(B34=MAX(B$7:B$37), C$7:C33&lt;&gt;"+"), "+", IF(AND(B34=MIN(B$7:B$37), C$7:C33&lt;&gt;"-"), "-", ""))</f>
        <v/>
      </c>
      <c r="D34" s="32">
        <f>IF(ISBLANK('CWMS Data'!$AX36), "", 'CWMS Data'!$AX36)</f>
        <v>0.2</v>
      </c>
      <c r="E34" s="137">
        <f>IF(ISBLANK('CWMS Data'!$AW36), "", 'CWMS Data'!$AW36)</f>
        <v>100</v>
      </c>
      <c r="F34" s="13" t="str">
        <f t="array" ref="F34">IF(AND(E34=MAX(E$7:E$37), F$7:F33&lt;&gt;"+"), "+", IF(AND(E34=MIN(E$7:E$37), F$7:F33&lt;&gt;"-"), "-", ""))</f>
        <v/>
      </c>
      <c r="G34" s="34">
        <f>IF(ISBLANK('CWMS Data'!$AY36), "", 'CWMS Data'!$AY36)</f>
        <v>30000.000000000004</v>
      </c>
      <c r="H34" s="14" t="str">
        <f t="array" ref="H34">IF(AND(G34=MAX(G$7:G$37), H$7:H33&lt;&gt;"+"), "+", IF(AND(G34=MIN(G$7:G$37), H$7:H33&lt;&gt;"-"), "-", ""))</f>
        <v/>
      </c>
      <c r="I34" s="77">
        <f>IF(ISBLANK('CWMS Data'!$AZ36), "", 'CWMS Data'!$AZ36)</f>
        <v>0</v>
      </c>
      <c r="J34" s="14" t="str">
        <f t="array" ref="J34">IF(AND(I34=MAX(I$7:I$37), J$7:J33&lt;&gt;"+"), "+", IF(AND(I34=MIN(I$7:I$37), J$7:J33&lt;&gt;"-"), "-", ""))</f>
        <v/>
      </c>
      <c r="K34" s="119">
        <f t="shared" si="0"/>
        <v>30000.000000000004</v>
      </c>
      <c r="L34" s="13" t="str">
        <f t="array" ref="L34">IF(AND(K34=MAX(K$7:K$37), L$7:L33&lt;&gt;"+"), "+", IF(AND(K34=MIN(K$7:K$37), L$7:L33&lt;&gt;"-"), "-", ""))</f>
        <v/>
      </c>
      <c r="M34" s="34">
        <f>IF(ISBLANK('CWMS Data'!$BB36), "", 'CWMS Data'!$BB36)</f>
        <v>31000</v>
      </c>
      <c r="N34" s="13" t="str">
        <f t="array" ref="N34">IF(AND(M34=MAX(M$7:M$37), N$7:N33&lt;&gt;"+"), "+", IF(AND(M34=MIN(M$7:M$37), N$7:N33&lt;&gt;"-"), "-", ""))</f>
        <v/>
      </c>
      <c r="O34" s="35"/>
      <c r="P34" s="35"/>
      <c r="Q34" s="35"/>
    </row>
    <row r="35" spans="1:17" ht="15" x14ac:dyDescent="0.25">
      <c r="A35" s="30">
        <f>IF(ISBLANK('CWMS Data'!$B37), "", 'CWMS Data'!$B37)</f>
        <v>44072</v>
      </c>
      <c r="B35" s="31">
        <f>IF(ISBLANK('CWMS Data'!$BE37), "", 'CWMS Data'!$BE37)</f>
        <v>1206.74</v>
      </c>
      <c r="C35" s="13" t="str">
        <f t="array" ref="C35">IF(AND(B35=MAX(B$7:B$37), C$7:C34&lt;&gt;"+"), "+", IF(AND(B35=MIN(B$7:B$37), C$7:C34&lt;&gt;"-"), "-", ""))</f>
        <v/>
      </c>
      <c r="D35" s="32">
        <f>IF(ISBLANK('CWMS Data'!$AX37), "", 'CWMS Data'!$AX37)</f>
        <v>0.2</v>
      </c>
      <c r="E35" s="137">
        <f>IF(ISBLANK('CWMS Data'!$AW37), "", 'CWMS Data'!$AW37)</f>
        <v>100</v>
      </c>
      <c r="F35" s="13" t="str">
        <f t="array" ref="F35">IF(AND(E35=MAX(E$7:E$37), F$7:F34&lt;&gt;"+"), "+", IF(AND(E35=MIN(E$7:E$37), F$7:F34&lt;&gt;"-"), "-", ""))</f>
        <v/>
      </c>
      <c r="G35" s="34">
        <f>IF(ISBLANK('CWMS Data'!$AY37), "", 'CWMS Data'!$AY37)</f>
        <v>29900</v>
      </c>
      <c r="H35" s="14" t="str">
        <f t="array" ref="H35">IF(AND(G35=MAX(G$7:G$37), H$7:H34&lt;&gt;"+"), "+", IF(AND(G35=MIN(G$7:G$37), H$7:H34&lt;&gt;"-"), "-", ""))</f>
        <v/>
      </c>
      <c r="I35" s="77">
        <f>IF(ISBLANK('CWMS Data'!$AZ37), "", 'CWMS Data'!$AZ37)</f>
        <v>0</v>
      </c>
      <c r="J35" s="14" t="str">
        <f t="array" ref="J35">IF(AND(I35=MAX(I$7:I$37), J$7:J34&lt;&gt;"+"), "+", IF(AND(I35=MIN(I$7:I$37), J$7:J34&lt;&gt;"-"), "-", ""))</f>
        <v/>
      </c>
      <c r="K35" s="119">
        <f t="shared" si="0"/>
        <v>29900</v>
      </c>
      <c r="L35" s="13" t="str">
        <f t="array" ref="L35">IF(AND(K35=MAX(K$7:K$37), L$7:L34&lt;&gt;"+"), "+", IF(AND(K35=MIN(K$7:K$37), L$7:L34&lt;&gt;"-"), "-", ""))</f>
        <v/>
      </c>
      <c r="M35" s="34">
        <f>IF(ISBLANK('CWMS Data'!$BB37), "", 'CWMS Data'!$BB37)</f>
        <v>30000.000000000004</v>
      </c>
      <c r="N35" s="13" t="str">
        <f t="array" ref="N35">IF(AND(M35=MAX(M$7:M$37), N$7:N34&lt;&gt;"+"), "+", IF(AND(M35=MIN(M$7:M$37), N$7:N34&lt;&gt;"-"), "-", ""))</f>
        <v/>
      </c>
      <c r="O35" s="35"/>
      <c r="P35" s="35"/>
      <c r="Q35" s="35"/>
    </row>
    <row r="36" spans="1:17" ht="15" x14ac:dyDescent="0.25">
      <c r="A36" s="30">
        <f>IF(ISBLANK('CWMS Data'!$B38), "", 'CWMS Data'!$B38)</f>
        <v>44073</v>
      </c>
      <c r="B36" s="31">
        <f>IF(ISBLANK('CWMS Data'!$BE38), "", 'CWMS Data'!$BE38)</f>
        <v>1206.96</v>
      </c>
      <c r="C36" s="13" t="str">
        <f t="array" ref="C36">IF(AND(B36=MAX(B$7:B$37), C$7:C35&lt;&gt;"+"), "+", IF(AND(B36=MIN(B$7:B$37), C$7:C35&lt;&gt;"-"), "-", ""))</f>
        <v/>
      </c>
      <c r="D36" s="32">
        <f>IF(ISBLANK('CWMS Data'!$AX38), "", 'CWMS Data'!$AX38)</f>
        <v>0.2</v>
      </c>
      <c r="E36" s="131">
        <f>IF(ISBLANK('CWMS Data'!$AW38), "", 'CWMS Data'!$AW38)</f>
        <v>100</v>
      </c>
      <c r="F36" s="13" t="str">
        <f t="array" ref="F36">IF(AND(E36=MAX(E$7:E$37), F$7:F35&lt;&gt;"+"), "+", IF(AND(E36=MIN(E$7:E$37), F$7:F35&lt;&gt;"-"), "-", ""))</f>
        <v/>
      </c>
      <c r="G36" s="34">
        <f>IF(ISBLANK('CWMS Data'!$AY38), "", 'CWMS Data'!$AY38)</f>
        <v>30000.000000000004</v>
      </c>
      <c r="H36" s="14" t="str">
        <f t="array" ref="H36">IF(AND(G36=MAX(G$7:G$37), H$7:H35&lt;&gt;"+"), "+", IF(AND(G36=MIN(G$7:G$37), H$7:H35&lt;&gt;"-"), "-", ""))</f>
        <v/>
      </c>
      <c r="I36" s="77">
        <f>IF(ISBLANK('CWMS Data'!$AZ38), "", 'CWMS Data'!$AZ38)</f>
        <v>0</v>
      </c>
      <c r="J36" s="14" t="str">
        <f t="array" ref="J36">IF(AND(I36=MAX(I$7:I$37), J$7:J35&lt;&gt;"+"), "+", IF(AND(I36=MIN(I$7:I$37), J$7:J35&lt;&gt;"-"), "-", ""))</f>
        <v/>
      </c>
      <c r="K36" s="119">
        <f t="shared" si="0"/>
        <v>30000.000000000004</v>
      </c>
      <c r="L36" s="13" t="str">
        <f t="array" ref="L36">IF(AND(K36=MAX(K$7:K$37), L$7:L35&lt;&gt;"+"), "+", IF(AND(K36=MIN(K$7:K$37), L$7:L35&lt;&gt;"-"), "-", ""))</f>
        <v/>
      </c>
      <c r="M36" s="34">
        <f>IF(ISBLANK('CWMS Data'!$BB38), "", 'CWMS Data'!$BB38)</f>
        <v>30000.000000000004</v>
      </c>
      <c r="N36" s="13" t="str">
        <f t="array" ref="N36">IF(AND(M36=MAX(M$7:M$37), N$7:N35&lt;&gt;"+"), "+", IF(AND(M36=MIN(M$7:M$37), N$7:N35&lt;&gt;"-"), "-", ""))</f>
        <v/>
      </c>
      <c r="O36" s="35"/>
      <c r="P36" s="35"/>
      <c r="Q36" s="35"/>
    </row>
    <row r="37" spans="1:17" ht="15" x14ac:dyDescent="0.25">
      <c r="A37" s="30">
        <f>IF(ISBLANK('CWMS Data'!$B39), "", 'CWMS Data'!$B39)</f>
        <v>44074</v>
      </c>
      <c r="B37" s="31">
        <f>IF(ISBLANK('CWMS Data'!$BE39), "", 'CWMS Data'!$BE39)</f>
        <v>1206.81</v>
      </c>
      <c r="C37" s="13" t="str">
        <f t="array" ref="C37">IF(AND(B37=MAX(B$7:B$37), C$7:C36&lt;&gt;"+"), "+", IF(AND(B37=MIN(B$7:B$37), C$7:C36&lt;&gt;"-"), "-", ""))</f>
        <v/>
      </c>
      <c r="D37" s="32">
        <f>IF(ISBLANK('CWMS Data'!$AX39), "", 'CWMS Data'!$AX39)</f>
        <v>0.2</v>
      </c>
      <c r="E37" s="77">
        <f>IF(ISBLANK('CWMS Data'!$AW39), "", 'CWMS Data'!$AW39)</f>
        <v>100</v>
      </c>
      <c r="F37" s="13" t="str">
        <f t="array" ref="F37">IF(AND(E37=MAX(E$7:E$37), F$7:F36&lt;&gt;"+"), "+", IF(AND(E37=MIN(E$7:E$37), F$7:F36&lt;&gt;"-"), "-", ""))</f>
        <v/>
      </c>
      <c r="G37" s="34">
        <f>IF(ISBLANK('CWMS Data'!$AY39), "", 'CWMS Data'!$AY39)</f>
        <v>30000.000000000004</v>
      </c>
      <c r="H37" s="15" t="str">
        <f t="array" ref="H37">IF(AND(G37=MAX(G$7:G$37), H$7:H36&lt;&gt;"+"), "+", IF(AND(G37=MIN(G$7:G$37), H$7:H36&lt;&gt;"-"), "-", ""))</f>
        <v/>
      </c>
      <c r="I37" s="77">
        <f>IF(ISBLANK('CWMS Data'!$AZ39), "", 'CWMS Data'!$AZ39)</f>
        <v>0</v>
      </c>
      <c r="J37" s="15" t="str">
        <f t="array" ref="J37">IF(AND(I37=MAX(I$7:I$37), J$7:J36&lt;&gt;"+"), "+", IF(AND(I37=MIN(I$7:I$37), J$7:J36&lt;&gt;"-"), "-", ""))</f>
        <v/>
      </c>
      <c r="K37" s="77">
        <f>IF(A37="","",I37+G37)</f>
        <v>30000.000000000004</v>
      </c>
      <c r="L37" s="13" t="str">
        <f t="array" ref="L37">IF(AND(K37=MAX(K$7:K$37), L$7:L36&lt;&gt;"+"), "+", IF(AND(K37=MIN(K$7:K$37), L$7:L36&lt;&gt;"-"), "-", ""))</f>
        <v/>
      </c>
      <c r="M37" s="34">
        <f>IF(ISBLANK('CWMS Data'!$BB39), "", 'CWMS Data'!$BB39)</f>
        <v>30000.000000000004</v>
      </c>
      <c r="N37" s="13" t="str">
        <f t="array" ref="N37">IF(AND(M37=MAX(M$7:M$37), N$7:N36&lt;&gt;"+"), "+", IF(AND(M37=MIN(M$7:M$37), N$7:N36&lt;&gt;"-"), "-", ""))</f>
        <v/>
      </c>
      <c r="O37" s="37"/>
      <c r="P37" s="35"/>
      <c r="Q37" s="35"/>
    </row>
    <row r="38" spans="1:17" ht="15" x14ac:dyDescent="0.25">
      <c r="A38" s="155" t="s">
        <v>0</v>
      </c>
      <c r="B38" s="156"/>
      <c r="C38" s="186"/>
      <c r="D38" s="38">
        <f>SUM(D7:D37)</f>
        <v>7.1000000000000041</v>
      </c>
      <c r="E38" s="39">
        <f>ROUND(SUM(E7:E37),-2)</f>
        <v>3000</v>
      </c>
      <c r="F38" s="40"/>
      <c r="G38" s="41">
        <f>ROUND(SUM(G7:G37),-2)</f>
        <v>869900</v>
      </c>
      <c r="H38" s="42"/>
      <c r="I38" s="39">
        <f>ROUND(SUM(I7:I37),-2)</f>
        <v>60200</v>
      </c>
      <c r="J38" s="43"/>
      <c r="K38" s="39">
        <f>ROUND(SUM(K7:K37),-2)</f>
        <v>930100</v>
      </c>
      <c r="L38" s="44"/>
      <c r="M38" s="41">
        <f>ROUND(SUM(M7:M37),-3)</f>
        <v>926000</v>
      </c>
      <c r="N38" s="44"/>
      <c r="O38" s="35"/>
      <c r="P38" s="35"/>
      <c r="Q38" s="35"/>
    </row>
    <row r="39" spans="1:17" ht="15" x14ac:dyDescent="0.25">
      <c r="A39" s="187" t="s">
        <v>1</v>
      </c>
      <c r="B39" s="188"/>
      <c r="C39" s="189"/>
      <c r="D39" s="45"/>
      <c r="E39" s="46">
        <f>ROUND(SUM(E7:E37)*(86400/43560),-2)</f>
        <v>6000</v>
      </c>
      <c r="F39" s="47"/>
      <c r="G39" s="46">
        <f>ROUND(SUM(G7:G37)*(86400/43560),-3)</f>
        <v>1725000</v>
      </c>
      <c r="H39" s="49"/>
      <c r="I39" s="46">
        <f>ROUND(SUM(I7:I37)*(86400/43560),-3)</f>
        <v>119000</v>
      </c>
      <c r="J39" s="50"/>
      <c r="K39" s="46">
        <f>ROUND(SUM(K7:K37)*(86400/43560),-3)</f>
        <v>1845000</v>
      </c>
      <c r="L39" s="51"/>
      <c r="M39" s="46">
        <f>ROUND(SUM(M7:M37)*(86400/43560),-3)</f>
        <v>1837000</v>
      </c>
      <c r="N39" s="51"/>
      <c r="O39" s="35"/>
    </row>
    <row r="40" spans="1:17" ht="15" x14ac:dyDescent="0.25">
      <c r="A40" s="17" t="s">
        <v>2</v>
      </c>
      <c r="B40" s="52">
        <f>AVERAGE(B7:B37)</f>
        <v>1206.8006451612896</v>
      </c>
      <c r="C40" s="53"/>
      <c r="D40" s="54">
        <f>AVERAGE(D7:D37)</f>
        <v>0.22903225806451627</v>
      </c>
      <c r="E40" s="46">
        <f>ROUND(AVERAGE(E7:E37),-2)</f>
        <v>100</v>
      </c>
      <c r="F40" s="47"/>
      <c r="G40" s="55">
        <f>ROUND(AVERAGE(G7:G37),-2)</f>
        <v>28100</v>
      </c>
      <c r="H40" s="56"/>
      <c r="I40" s="57">
        <f>ROUND(AVERAGE(I7:I37),-2)</f>
        <v>1900</v>
      </c>
      <c r="J40" s="58"/>
      <c r="K40" s="57">
        <f>ROUND(AVERAGE(K7:K37),-2)</f>
        <v>30000</v>
      </c>
      <c r="L40" s="59"/>
      <c r="M40" s="46">
        <f>ROUND(AVERAGE(M7:M37),-2)</f>
        <v>29900</v>
      </c>
      <c r="N40" s="51"/>
      <c r="O40" s="35"/>
    </row>
    <row r="41" spans="1:17" ht="15" x14ac:dyDescent="0.25">
      <c r="A41" s="155" t="s">
        <v>25</v>
      </c>
      <c r="B41" s="156"/>
      <c r="C41" s="156"/>
      <c r="D41" s="156"/>
      <c r="E41" s="70" t="s">
        <v>31</v>
      </c>
      <c r="F41" s="157">
        <f>INDEX('CWMS Data'!$B$8:$BE$39,MATCH(MAX($A$7:$A$37),'CWMS Data'!$B$8:$B$39,0), 55)</f>
        <v>345000</v>
      </c>
      <c r="G41" s="157"/>
      <c r="H41" s="62"/>
      <c r="I41" s="62"/>
      <c r="J41" s="153" t="s">
        <v>44</v>
      </c>
      <c r="K41" s="153"/>
      <c r="L41" s="157">
        <f>INDEX('CWMS Data'!$B$8:$BE$39,MATCH(MAX($A$7:$A$37),'CWMS Data'!$B$8:$B$39,0), 55)-'CWMS Data'!BD8</f>
        <v>-13999.999999999942</v>
      </c>
      <c r="M41" s="157"/>
      <c r="N41" s="64"/>
    </row>
    <row r="42" spans="1:17" ht="15" x14ac:dyDescent="0.25">
      <c r="A42" s="19" t="str">
        <f>TEXT("+ Max", 0)</f>
        <v>+ Max</v>
      </c>
      <c r="B42" s="60"/>
      <c r="C42" s="61"/>
      <c r="D42" s="154" t="s">
        <v>46</v>
      </c>
      <c r="E42" s="154"/>
      <c r="F42" s="157">
        <f>MAX('CWMS Data'!BD9:BD39)</f>
        <v>357000</v>
      </c>
      <c r="G42" s="157"/>
      <c r="H42" s="62"/>
      <c r="I42" s="62"/>
      <c r="J42" s="154" t="s">
        <v>33</v>
      </c>
      <c r="K42" s="154"/>
      <c r="L42" s="157">
        <f>MIN('CWMS Data'!BD9:BD39)</f>
        <v>338999.99999999994</v>
      </c>
      <c r="M42" s="157"/>
      <c r="N42" s="65"/>
    </row>
    <row r="43" spans="1:17" ht="15" x14ac:dyDescent="0.25">
      <c r="A43" s="19" t="str">
        <f>TEXT("- Min", 0)</f>
        <v>- Min</v>
      </c>
      <c r="B43" s="60"/>
      <c r="C43" s="61"/>
      <c r="D43" s="185" t="s">
        <v>45</v>
      </c>
      <c r="E43" s="185"/>
      <c r="F43" s="66" t="str">
        <f t="array" ref="F43">TEXT(SUM(IF('CWMS Data'!BC9:BC39&lt;&gt;-901,'CWMS Data'!BC9:BC39)), "0.00")&amp;" inches"</f>
        <v>0.47 inches</v>
      </c>
      <c r="G43" s="66"/>
      <c r="H43" s="62"/>
      <c r="I43" s="62"/>
      <c r="J43" s="61"/>
      <c r="K43" s="62"/>
      <c r="L43" s="61"/>
      <c r="M43" s="62"/>
      <c r="N43" s="65"/>
    </row>
    <row r="44" spans="1:17" ht="14.25" customHeight="1" x14ac:dyDescent="0.2">
      <c r="A44" s="190" t="s">
        <v>90</v>
      </c>
      <c r="B44" s="191"/>
      <c r="C44" s="191"/>
      <c r="D44" s="191"/>
      <c r="E44" s="191"/>
      <c r="F44" s="191"/>
      <c r="G44" s="191"/>
      <c r="H44" s="191"/>
      <c r="I44" s="191"/>
      <c r="J44" s="191"/>
      <c r="K44" s="191"/>
      <c r="L44" s="191"/>
      <c r="M44" s="196">
        <f>F3</f>
        <v>44044</v>
      </c>
      <c r="N44" s="197"/>
    </row>
    <row r="45" spans="1:17" ht="14.25" customHeight="1" x14ac:dyDescent="0.2">
      <c r="A45" s="192"/>
      <c r="B45" s="193"/>
      <c r="C45" s="193"/>
      <c r="D45" s="193"/>
      <c r="E45" s="193"/>
      <c r="F45" s="193"/>
      <c r="G45" s="193"/>
      <c r="H45" s="193"/>
      <c r="I45" s="193"/>
      <c r="J45" s="193"/>
      <c r="K45" s="193"/>
      <c r="L45" s="193"/>
      <c r="M45" s="198"/>
      <c r="N45" s="199"/>
    </row>
    <row r="46" spans="1:17" ht="14.25" customHeight="1" x14ac:dyDescent="0.2">
      <c r="A46" s="194"/>
      <c r="B46" s="195"/>
      <c r="C46" s="195"/>
      <c r="D46" s="195"/>
      <c r="E46" s="195"/>
      <c r="F46" s="195"/>
      <c r="G46" s="195"/>
      <c r="H46" s="195"/>
      <c r="I46" s="195"/>
      <c r="J46" s="195"/>
      <c r="K46" s="195"/>
      <c r="L46" s="195"/>
      <c r="M46" s="200"/>
      <c r="N46" s="201"/>
    </row>
    <row r="47" spans="1:17" x14ac:dyDescent="0.2">
      <c r="M47" s="35"/>
      <c r="N47" s="35"/>
    </row>
  </sheetData>
  <sheetProtection formatCells="0"/>
  <mergeCells count="30">
    <mergeCell ref="P9:Q9"/>
    <mergeCell ref="A1:N1"/>
    <mergeCell ref="A2:E2"/>
    <mergeCell ref="F2:N2"/>
    <mergeCell ref="A3:E3"/>
    <mergeCell ref="F3:H3"/>
    <mergeCell ref="I3:N3"/>
    <mergeCell ref="P1:Q1"/>
    <mergeCell ref="L42:M42"/>
    <mergeCell ref="D4:F4"/>
    <mergeCell ref="G4:N4"/>
    <mergeCell ref="B5:C5"/>
    <mergeCell ref="G5:L5"/>
    <mergeCell ref="M5:N5"/>
    <mergeCell ref="D43:E43"/>
    <mergeCell ref="A44:L46"/>
    <mergeCell ref="M44:N46"/>
    <mergeCell ref="P6:S6"/>
    <mergeCell ref="P7:S7"/>
    <mergeCell ref="P8:S8"/>
    <mergeCell ref="A38:C38"/>
    <mergeCell ref="A39:C39"/>
    <mergeCell ref="A41:D41"/>
    <mergeCell ref="F41:G41"/>
    <mergeCell ref="J41:K41"/>
    <mergeCell ref="L41:M41"/>
    <mergeCell ref="B6:C6"/>
    <mergeCell ref="D42:E42"/>
    <mergeCell ref="F42:G42"/>
    <mergeCell ref="J42:K42"/>
  </mergeCells>
  <conditionalFormatting sqref="A7:N37">
    <cfRule type="expression" dxfId="2" priority="3">
      <formula>AND(DAY($A7) / 5 = INT(DAY($A7) / 5), DAY($A7)&lt;&gt;30)</formula>
    </cfRule>
  </conditionalFormatting>
  <conditionalFormatting sqref="R9">
    <cfRule type="cellIs" dxfId="1" priority="1" operator="notBetween">
      <formula>-99.9999999</formula>
      <formula>99.9999999</formula>
    </cfRule>
  </conditionalFormatting>
  <dataValidations count="4">
    <dataValidation type="list" allowBlank="1" showInputMessage="1" showErrorMessage="1" sqref="R1" xr:uid="{00000000-0002-0000-0500-000000000000}">
      <formula1>"No, Yes"</formula1>
    </dataValidation>
    <dataValidation type="custom" allowBlank="1" showErrorMessage="1" errorTitle="Protected Cell" error="This cell is protected.  To edit, change cell R1 to &quot;No&quot;." promptTitle="Protected Cell" prompt="This cell is protected.  To edit, change cell R1 to &quot;No&quot;." sqref="A1:N6 F7:L37 E40:L43 N7:N46 E38:M38 M40:M46 A7:D43" xr:uid="{00000000-0002-0000-0500-000001000000}">
      <formula1>IF($R$1 = "Yes", FALSE, TRUE)</formula1>
    </dataValidation>
    <dataValidation allowBlank="1" showErrorMessage="1" errorTitle="Protected Cell" error="This cell is protected.  To edit, change cell R1 to &quot;No&quot;." promptTitle="Protected Cell" prompt="This cell is protected.  To edit, change cell R1 to &quot;No&quot;." sqref="A44:L46" xr:uid="{00000000-0002-0000-0500-000003000000}"/>
    <dataValidation type="custom" allowBlank="1" showInputMessage="1" showErrorMessage="1" errorTitle="Protected Cell" error="This cell is protected.  To edit, change cell R1 to &quot;No&quot;." sqref="E39:M39" xr:uid="{00000000-0002-0000-0500-000004000000}">
      <formula1>IF($R$1 = "Yes", FALSE, TRUE)</formula1>
    </dataValidation>
  </dataValidations>
  <printOptions horizontalCentered="1" verticalCentered="1"/>
  <pageMargins left="0.7" right="0.7" top="0.5" bottom="0.5" header="0.3" footer="0.3"/>
  <pageSetup scale="9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988" r:id="rId4" name="Button 4">
              <controlPr defaultSize="0" print="0" autoFill="0" autoPict="0" macro="[0]!CreateFiles">
                <anchor moveWithCells="1" sizeWithCells="1">
                  <from>
                    <xdr:col>15</xdr:col>
                    <xdr:colOff>9525</xdr:colOff>
                    <xdr:row>16</xdr:row>
                    <xdr:rowOff>19050</xdr:rowOff>
                  </from>
                  <to>
                    <xdr:col>17</xdr:col>
                    <xdr:colOff>590550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89" r:id="rId5" name="Button 5">
              <controlPr defaultSize="0" print="0" autoFill="0" autoPict="0" macro="[0]!Module1.MyPrint">
                <anchor moveWithCells="1" sizeWithCells="1">
                  <from>
                    <xdr:col>15</xdr:col>
                    <xdr:colOff>9525</xdr:colOff>
                    <xdr:row>13</xdr:row>
                    <xdr:rowOff>19050</xdr:rowOff>
                  </from>
                  <to>
                    <xdr:col>17</xdr:col>
                    <xdr:colOff>590550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90" r:id="rId6" name="Button 6">
              <controlPr defaultSize="0" print="0" autoFill="0" autoPict="0" macro="[0]!DataGrab">
                <anchor moveWithCells="1" sizeWithCells="1">
                  <from>
                    <xdr:col>15</xdr:col>
                    <xdr:colOff>9525</xdr:colOff>
                    <xdr:row>10</xdr:row>
                    <xdr:rowOff>19050</xdr:rowOff>
                  </from>
                  <to>
                    <xdr:col>17</xdr:col>
                    <xdr:colOff>590550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148B0455-B735-4632-AD26-3D04650166B1}">
            <xm:f>K7&lt;&gt;'CWMS Data'!BA9</xm:f>
            <x14:dxf>
              <font>
                <b/>
                <i val="0"/>
                <color theme="5"/>
              </font>
              <fill>
                <patternFill>
                  <bgColor theme="5" tint="0.79998168889431442"/>
                </patternFill>
              </fill>
            </x14:dxf>
          </x14:cfRule>
          <xm:sqref>K7:K37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6"/>
  </sheetPr>
  <dimension ref="A1:BE39"/>
  <sheetViews>
    <sheetView zoomScale="80" zoomScaleNormal="80" workbookViewId="0">
      <pane xSplit="2" ySplit="7" topLeftCell="C8" activePane="bottomRight" state="frozen"/>
      <selection pane="topRight" activeCell="C1" sqref="C1"/>
      <selection pane="bottomLeft" activeCell="A8" sqref="A8"/>
      <selection pane="bottomRight" sqref="A1:BE39"/>
    </sheetView>
  </sheetViews>
  <sheetFormatPr defaultColWidth="9.140625" defaultRowHeight="14.25" x14ac:dyDescent="0.2"/>
  <cols>
    <col min="1" max="1" width="6.42578125" style="1" bestFit="1" customWidth="1"/>
    <col min="2" max="2" width="14.42578125" style="1" bestFit="1" customWidth="1"/>
    <col min="3" max="11" width="33.140625" style="1" bestFit="1" customWidth="1"/>
    <col min="12" max="21" width="32.7109375" style="1" bestFit="1" customWidth="1"/>
    <col min="22" max="30" width="29.140625" style="1" bestFit="1" customWidth="1"/>
    <col min="31" max="39" width="33.7109375" style="1" bestFit="1" customWidth="1"/>
    <col min="40" max="48" width="36" style="1" bestFit="1" customWidth="1"/>
    <col min="49" max="57" width="36.7109375" style="1" bestFit="1" customWidth="1"/>
    <col min="58" max="16384" width="9.140625" style="1"/>
  </cols>
  <sheetData>
    <row r="1" spans="1:57" x14ac:dyDescent="0.2">
      <c r="A1" s="1" t="s">
        <v>50</v>
      </c>
      <c r="B1" s="1" t="s">
        <v>5</v>
      </c>
      <c r="C1" s="1" t="s">
        <v>5</v>
      </c>
      <c r="D1" s="1" t="s">
        <v>5</v>
      </c>
      <c r="E1" s="1" t="s">
        <v>5</v>
      </c>
      <c r="F1" s="1" t="s">
        <v>5</v>
      </c>
      <c r="G1" s="1" t="s">
        <v>5</v>
      </c>
      <c r="H1" s="1" t="s">
        <v>5</v>
      </c>
      <c r="I1" s="1" t="s">
        <v>5</v>
      </c>
      <c r="J1" s="1" t="s">
        <v>5</v>
      </c>
      <c r="K1" s="1" t="s">
        <v>5</v>
      </c>
      <c r="L1" s="1" t="s">
        <v>5</v>
      </c>
      <c r="M1" s="1" t="s">
        <v>5</v>
      </c>
      <c r="N1" s="1" t="s">
        <v>5</v>
      </c>
      <c r="O1" s="1" t="s">
        <v>5</v>
      </c>
      <c r="P1" s="1" t="s">
        <v>5</v>
      </c>
      <c r="Q1" s="1" t="s">
        <v>5</v>
      </c>
      <c r="R1" s="1" t="s">
        <v>5</v>
      </c>
      <c r="S1" s="1" t="s">
        <v>5</v>
      </c>
      <c r="T1" s="1" t="s">
        <v>5</v>
      </c>
      <c r="U1" s="1" t="s">
        <v>5</v>
      </c>
      <c r="V1" s="1" t="s">
        <v>5</v>
      </c>
      <c r="W1" s="1" t="s">
        <v>5</v>
      </c>
      <c r="X1" s="1" t="s">
        <v>5</v>
      </c>
      <c r="Y1" s="1" t="s">
        <v>5</v>
      </c>
      <c r="Z1" s="1" t="s">
        <v>5</v>
      </c>
      <c r="AA1" s="1" t="s">
        <v>5</v>
      </c>
      <c r="AB1" s="1" t="s">
        <v>5</v>
      </c>
      <c r="AC1" s="1" t="s">
        <v>5</v>
      </c>
      <c r="AD1" s="1" t="s">
        <v>5</v>
      </c>
      <c r="AE1" s="1" t="s">
        <v>5</v>
      </c>
      <c r="AF1" s="1" t="s">
        <v>5</v>
      </c>
      <c r="AG1" s="1" t="s">
        <v>5</v>
      </c>
      <c r="AH1" s="1" t="s">
        <v>5</v>
      </c>
      <c r="AI1" s="1" t="s">
        <v>5</v>
      </c>
      <c r="AJ1" s="1" t="s">
        <v>5</v>
      </c>
      <c r="AK1" s="1" t="s">
        <v>5</v>
      </c>
      <c r="AL1" s="1" t="s">
        <v>5</v>
      </c>
      <c r="AM1" s="1" t="s">
        <v>5</v>
      </c>
      <c r="AN1" s="1" t="s">
        <v>5</v>
      </c>
      <c r="AO1" s="1" t="s">
        <v>5</v>
      </c>
      <c r="AP1" s="1" t="s">
        <v>5</v>
      </c>
      <c r="AQ1" s="1" t="s">
        <v>5</v>
      </c>
      <c r="AR1" s="1" t="s">
        <v>5</v>
      </c>
      <c r="AS1" s="1" t="s">
        <v>5</v>
      </c>
      <c r="AT1" s="1" t="s">
        <v>5</v>
      </c>
      <c r="AU1" s="1" t="s">
        <v>5</v>
      </c>
      <c r="AV1" s="1" t="s">
        <v>5</v>
      </c>
      <c r="AW1" s="1" t="s">
        <v>5</v>
      </c>
      <c r="AX1" s="1" t="s">
        <v>5</v>
      </c>
      <c r="AY1" s="1" t="s">
        <v>5</v>
      </c>
      <c r="AZ1" s="1" t="s">
        <v>5</v>
      </c>
      <c r="BA1" s="1" t="s">
        <v>5</v>
      </c>
      <c r="BB1" s="1" t="s">
        <v>5</v>
      </c>
      <c r="BC1" s="1" t="s">
        <v>5</v>
      </c>
      <c r="BD1" s="1" t="s">
        <v>5</v>
      </c>
      <c r="BE1" s="1" t="s">
        <v>5</v>
      </c>
    </row>
    <row r="2" spans="1:57" x14ac:dyDescent="0.2">
      <c r="A2" s="1" t="s">
        <v>6</v>
      </c>
      <c r="B2" s="1" t="s">
        <v>5</v>
      </c>
      <c r="C2" s="1" t="s">
        <v>72</v>
      </c>
      <c r="D2" s="1" t="s">
        <v>72</v>
      </c>
      <c r="E2" s="1" t="s">
        <v>81</v>
      </c>
      <c r="F2" s="1" t="s">
        <v>72</v>
      </c>
      <c r="G2" s="1" t="s">
        <v>72</v>
      </c>
      <c r="H2" s="1" t="s">
        <v>72</v>
      </c>
      <c r="I2" s="1" t="s">
        <v>72</v>
      </c>
      <c r="J2" s="1" t="s">
        <v>72</v>
      </c>
      <c r="K2" s="1" t="s">
        <v>72</v>
      </c>
      <c r="L2" s="1" t="s">
        <v>73</v>
      </c>
      <c r="M2" s="1" t="s">
        <v>73</v>
      </c>
      <c r="N2" s="1" t="s">
        <v>82</v>
      </c>
      <c r="O2" s="1" t="s">
        <v>73</v>
      </c>
      <c r="P2" s="1" t="s">
        <v>74</v>
      </c>
      <c r="Q2" s="1" t="s">
        <v>73</v>
      </c>
      <c r="R2" s="1" t="s">
        <v>73</v>
      </c>
      <c r="S2" s="1" t="s">
        <v>73</v>
      </c>
      <c r="T2" s="1" t="s">
        <v>73</v>
      </c>
      <c r="U2" s="1" t="s">
        <v>73</v>
      </c>
      <c r="V2" s="1" t="s">
        <v>26</v>
      </c>
      <c r="W2" s="1" t="s">
        <v>26</v>
      </c>
      <c r="X2" s="1" t="s">
        <v>83</v>
      </c>
      <c r="Y2" s="1" t="s">
        <v>26</v>
      </c>
      <c r="Z2" s="1" t="s">
        <v>26</v>
      </c>
      <c r="AA2" s="1" t="s">
        <v>26</v>
      </c>
      <c r="AB2" s="1" t="s">
        <v>26</v>
      </c>
      <c r="AC2" s="1" t="s">
        <v>26</v>
      </c>
      <c r="AD2" s="1" t="s">
        <v>26</v>
      </c>
      <c r="AE2" s="1" t="s">
        <v>75</v>
      </c>
      <c r="AF2" s="1" t="s">
        <v>75</v>
      </c>
      <c r="AG2" s="1" t="s">
        <v>84</v>
      </c>
      <c r="AH2" s="1" t="s">
        <v>75</v>
      </c>
      <c r="AI2" s="1" t="s">
        <v>75</v>
      </c>
      <c r="AJ2" s="1" t="s">
        <v>75</v>
      </c>
      <c r="AK2" s="1" t="s">
        <v>75</v>
      </c>
      <c r="AL2" s="1" t="s">
        <v>75</v>
      </c>
      <c r="AM2" s="1" t="s">
        <v>75</v>
      </c>
      <c r="AN2" s="1" t="s">
        <v>76</v>
      </c>
      <c r="AO2" s="1" t="s">
        <v>76</v>
      </c>
      <c r="AP2" s="1" t="s">
        <v>85</v>
      </c>
      <c r="AQ2" s="1" t="s">
        <v>76</v>
      </c>
      <c r="AR2" s="1" t="s">
        <v>76</v>
      </c>
      <c r="AS2" s="1" t="s">
        <v>76</v>
      </c>
      <c r="AT2" s="1" t="s">
        <v>76</v>
      </c>
      <c r="AU2" s="1" t="s">
        <v>76</v>
      </c>
      <c r="AV2" s="1" t="s">
        <v>76</v>
      </c>
      <c r="AW2" s="1" t="s">
        <v>77</v>
      </c>
      <c r="AX2" s="1" t="s">
        <v>77</v>
      </c>
      <c r="AY2" s="1" t="s">
        <v>86</v>
      </c>
      <c r="AZ2" s="1" t="s">
        <v>77</v>
      </c>
      <c r="BA2" s="1" t="s">
        <v>77</v>
      </c>
      <c r="BB2" s="1" t="s">
        <v>77</v>
      </c>
      <c r="BC2" s="1" t="s">
        <v>77</v>
      </c>
      <c r="BD2" s="1" t="s">
        <v>77</v>
      </c>
      <c r="BE2" s="1" t="s">
        <v>77</v>
      </c>
    </row>
    <row r="3" spans="1:57" x14ac:dyDescent="0.2">
      <c r="A3" s="1" t="s">
        <v>7</v>
      </c>
      <c r="B3" s="1" t="s">
        <v>69</v>
      </c>
      <c r="C3" s="1" t="s">
        <v>8</v>
      </c>
      <c r="D3" s="1" t="s">
        <v>9</v>
      </c>
      <c r="E3" s="1" t="s">
        <v>79</v>
      </c>
      <c r="F3" s="1" t="s">
        <v>10</v>
      </c>
      <c r="G3" s="1" t="s">
        <v>78</v>
      </c>
      <c r="H3" s="1" t="s">
        <v>22</v>
      </c>
      <c r="I3" s="1" t="s">
        <v>23</v>
      </c>
      <c r="J3" s="1" t="s">
        <v>11</v>
      </c>
      <c r="K3" s="1" t="s">
        <v>3</v>
      </c>
      <c r="L3" s="1" t="s">
        <v>8</v>
      </c>
      <c r="M3" s="1" t="s">
        <v>9</v>
      </c>
      <c r="N3" s="1" t="s">
        <v>79</v>
      </c>
      <c r="O3" s="1" t="s">
        <v>10</v>
      </c>
      <c r="P3" s="1" t="s">
        <v>79</v>
      </c>
      <c r="Q3" s="1" t="s">
        <v>78</v>
      </c>
      <c r="R3" s="1" t="s">
        <v>22</v>
      </c>
      <c r="S3" s="1" t="s">
        <v>23</v>
      </c>
      <c r="T3" s="1" t="s">
        <v>11</v>
      </c>
      <c r="U3" s="1" t="s">
        <v>3</v>
      </c>
      <c r="V3" s="1" t="s">
        <v>8</v>
      </c>
      <c r="W3" s="1" t="s">
        <v>9</v>
      </c>
      <c r="X3" s="1" t="s">
        <v>79</v>
      </c>
      <c r="Y3" s="1" t="s">
        <v>10</v>
      </c>
      <c r="Z3" s="1" t="s">
        <v>78</v>
      </c>
      <c r="AA3" s="1" t="s">
        <v>22</v>
      </c>
      <c r="AB3" s="1" t="s">
        <v>23</v>
      </c>
      <c r="AC3" s="1" t="s">
        <v>11</v>
      </c>
      <c r="AD3" s="1" t="s">
        <v>3</v>
      </c>
      <c r="AE3" s="1" t="s">
        <v>8</v>
      </c>
      <c r="AF3" s="1" t="s">
        <v>9</v>
      </c>
      <c r="AG3" s="1" t="s">
        <v>79</v>
      </c>
      <c r="AH3" s="1" t="s">
        <v>10</v>
      </c>
      <c r="AI3" s="1" t="s">
        <v>78</v>
      </c>
      <c r="AJ3" s="1" t="s">
        <v>22</v>
      </c>
      <c r="AK3" s="1" t="s">
        <v>23</v>
      </c>
      <c r="AL3" s="1" t="s">
        <v>11</v>
      </c>
      <c r="AM3" s="1" t="s">
        <v>3</v>
      </c>
      <c r="AN3" s="1" t="s">
        <v>8</v>
      </c>
      <c r="AO3" s="1" t="s">
        <v>9</v>
      </c>
      <c r="AP3" s="1" t="s">
        <v>79</v>
      </c>
      <c r="AQ3" s="1" t="s">
        <v>10</v>
      </c>
      <c r="AR3" s="1" t="s">
        <v>78</v>
      </c>
      <c r="AS3" s="1" t="s">
        <v>22</v>
      </c>
      <c r="AT3" s="1" t="s">
        <v>23</v>
      </c>
      <c r="AU3" s="1" t="s">
        <v>11</v>
      </c>
      <c r="AV3" s="1" t="s">
        <v>3</v>
      </c>
      <c r="AW3" s="1" t="s">
        <v>8</v>
      </c>
      <c r="AX3" s="1" t="s">
        <v>9</v>
      </c>
      <c r="AY3" s="1" t="s">
        <v>79</v>
      </c>
      <c r="AZ3" s="1" t="s">
        <v>10</v>
      </c>
      <c r="BA3" s="1" t="s">
        <v>78</v>
      </c>
      <c r="BB3" s="1" t="s">
        <v>22</v>
      </c>
      <c r="BC3" s="1" t="s">
        <v>23</v>
      </c>
      <c r="BD3" s="1" t="s">
        <v>11</v>
      </c>
      <c r="BE3" s="1" t="s">
        <v>3</v>
      </c>
    </row>
    <row r="4" spans="1:57" x14ac:dyDescent="0.2">
      <c r="A4" s="1" t="s">
        <v>12</v>
      </c>
      <c r="B4" s="1" t="s">
        <v>5</v>
      </c>
      <c r="C4" s="1" t="s">
        <v>5</v>
      </c>
      <c r="D4" s="1" t="s">
        <v>5</v>
      </c>
      <c r="E4" s="1" t="s">
        <v>5</v>
      </c>
      <c r="F4" s="1" t="s">
        <v>5</v>
      </c>
      <c r="G4" s="1" t="s">
        <v>5</v>
      </c>
      <c r="H4" s="1" t="s">
        <v>5</v>
      </c>
      <c r="I4" s="1" t="s">
        <v>5</v>
      </c>
      <c r="J4" s="1" t="s">
        <v>5</v>
      </c>
      <c r="K4" s="1" t="s">
        <v>5</v>
      </c>
      <c r="L4" s="1" t="s">
        <v>5</v>
      </c>
      <c r="M4" s="1" t="s">
        <v>5</v>
      </c>
      <c r="N4" s="1" t="s">
        <v>5</v>
      </c>
      <c r="O4" s="1" t="s">
        <v>5</v>
      </c>
      <c r="P4" s="1" t="s">
        <v>5</v>
      </c>
      <c r="Q4" s="1" t="s">
        <v>5</v>
      </c>
      <c r="R4" s="1" t="s">
        <v>5</v>
      </c>
      <c r="S4" s="1" t="s">
        <v>5</v>
      </c>
      <c r="T4" s="1" t="s">
        <v>5</v>
      </c>
      <c r="U4" s="1" t="s">
        <v>5</v>
      </c>
      <c r="V4" s="1" t="s">
        <v>5</v>
      </c>
      <c r="W4" s="1" t="s">
        <v>5</v>
      </c>
      <c r="X4" s="1" t="s">
        <v>5</v>
      </c>
      <c r="Y4" s="1" t="s">
        <v>5</v>
      </c>
      <c r="Z4" s="1" t="s">
        <v>5</v>
      </c>
      <c r="AA4" s="1" t="s">
        <v>5</v>
      </c>
      <c r="AB4" s="1" t="s">
        <v>5</v>
      </c>
      <c r="AC4" s="1" t="s">
        <v>5</v>
      </c>
      <c r="AD4" s="1" t="s">
        <v>5</v>
      </c>
      <c r="AE4" s="1" t="s">
        <v>5</v>
      </c>
      <c r="AF4" s="1" t="s">
        <v>5</v>
      </c>
      <c r="AG4" s="1" t="s">
        <v>5</v>
      </c>
      <c r="AH4" s="1" t="s">
        <v>5</v>
      </c>
      <c r="AI4" s="1" t="s">
        <v>5</v>
      </c>
      <c r="AJ4" s="1" t="s">
        <v>5</v>
      </c>
      <c r="AK4" s="1" t="s">
        <v>5</v>
      </c>
      <c r="AL4" s="1" t="s">
        <v>5</v>
      </c>
      <c r="AM4" s="1" t="s">
        <v>5</v>
      </c>
      <c r="AN4" s="1" t="s">
        <v>5</v>
      </c>
      <c r="AO4" s="1" t="s">
        <v>5</v>
      </c>
      <c r="AP4" s="1" t="s">
        <v>5</v>
      </c>
      <c r="AQ4" s="1" t="s">
        <v>5</v>
      </c>
      <c r="AR4" s="1" t="s">
        <v>5</v>
      </c>
      <c r="AS4" s="1" t="s">
        <v>5</v>
      </c>
      <c r="AT4" s="1" t="s">
        <v>5</v>
      </c>
      <c r="AU4" s="1" t="s">
        <v>5</v>
      </c>
      <c r="AV4" s="1" t="s">
        <v>5</v>
      </c>
      <c r="AW4" s="1" t="s">
        <v>5</v>
      </c>
      <c r="AX4" s="1" t="s">
        <v>5</v>
      </c>
      <c r="AY4" s="1" t="s">
        <v>5</v>
      </c>
      <c r="AZ4" s="1" t="s">
        <v>5</v>
      </c>
      <c r="BA4" s="1" t="s">
        <v>5</v>
      </c>
      <c r="BB4" s="1" t="s">
        <v>5</v>
      </c>
      <c r="BC4" s="1" t="s">
        <v>5</v>
      </c>
      <c r="BD4" s="1" t="s">
        <v>5</v>
      </c>
      <c r="BE4" s="1" t="s">
        <v>5</v>
      </c>
    </row>
    <row r="5" spans="1:57" x14ac:dyDescent="0.2">
      <c r="A5" s="1" t="s">
        <v>13</v>
      </c>
      <c r="B5" s="1" t="s">
        <v>5</v>
      </c>
      <c r="C5" s="1" t="s">
        <v>80</v>
      </c>
      <c r="D5" s="1" t="s">
        <v>80</v>
      </c>
      <c r="E5" s="1" t="s">
        <v>80</v>
      </c>
      <c r="F5" s="1" t="s">
        <v>80</v>
      </c>
      <c r="G5" s="1" t="s">
        <v>80</v>
      </c>
      <c r="H5" s="1" t="s">
        <v>80</v>
      </c>
      <c r="I5" s="1" t="s">
        <v>80</v>
      </c>
      <c r="J5" s="1" t="s">
        <v>80</v>
      </c>
      <c r="K5" s="1" t="s">
        <v>80</v>
      </c>
      <c r="L5" s="1" t="s">
        <v>80</v>
      </c>
      <c r="M5" s="1" t="s">
        <v>80</v>
      </c>
      <c r="N5" s="1" t="s">
        <v>80</v>
      </c>
      <c r="O5" s="1" t="s">
        <v>80</v>
      </c>
      <c r="P5" s="1" t="s">
        <v>80</v>
      </c>
      <c r="Q5" s="1" t="s">
        <v>80</v>
      </c>
      <c r="R5" s="1" t="s">
        <v>80</v>
      </c>
      <c r="S5" s="1" t="s">
        <v>80</v>
      </c>
      <c r="T5" s="1" t="s">
        <v>80</v>
      </c>
      <c r="U5" s="1" t="s">
        <v>80</v>
      </c>
      <c r="V5" s="1" t="s">
        <v>80</v>
      </c>
      <c r="W5" s="1" t="s">
        <v>80</v>
      </c>
      <c r="X5" s="1" t="s">
        <v>80</v>
      </c>
      <c r="Y5" s="1" t="s">
        <v>80</v>
      </c>
      <c r="Z5" s="1" t="s">
        <v>80</v>
      </c>
      <c r="AA5" s="1" t="s">
        <v>80</v>
      </c>
      <c r="AB5" s="1" t="s">
        <v>80</v>
      </c>
      <c r="AC5" s="1" t="s">
        <v>80</v>
      </c>
      <c r="AD5" s="1" t="s">
        <v>80</v>
      </c>
      <c r="AE5" s="1" t="s">
        <v>80</v>
      </c>
      <c r="AF5" s="1" t="s">
        <v>80</v>
      </c>
      <c r="AG5" s="1" t="s">
        <v>80</v>
      </c>
      <c r="AH5" s="1" t="s">
        <v>80</v>
      </c>
      <c r="AI5" s="1" t="s">
        <v>80</v>
      </c>
      <c r="AJ5" s="1" t="s">
        <v>80</v>
      </c>
      <c r="AK5" s="1" t="s">
        <v>80</v>
      </c>
      <c r="AL5" s="1" t="s">
        <v>80</v>
      </c>
      <c r="AM5" s="1" t="s">
        <v>80</v>
      </c>
      <c r="AN5" s="1" t="s">
        <v>80</v>
      </c>
      <c r="AO5" s="1" t="s">
        <v>80</v>
      </c>
      <c r="AP5" s="1" t="s">
        <v>80</v>
      </c>
      <c r="AQ5" s="1" t="s">
        <v>80</v>
      </c>
      <c r="AR5" s="1" t="s">
        <v>80</v>
      </c>
      <c r="AS5" s="1" t="s">
        <v>80</v>
      </c>
      <c r="AT5" s="1" t="s">
        <v>80</v>
      </c>
      <c r="AU5" s="1" t="s">
        <v>80</v>
      </c>
      <c r="AV5" s="1" t="s">
        <v>80</v>
      </c>
      <c r="AW5" s="1" t="s">
        <v>80</v>
      </c>
      <c r="AX5" s="1" t="s">
        <v>80</v>
      </c>
      <c r="AY5" s="1" t="s">
        <v>80</v>
      </c>
      <c r="AZ5" s="1" t="s">
        <v>80</v>
      </c>
      <c r="BA5" s="1" t="s">
        <v>80</v>
      </c>
      <c r="BB5" s="1" t="s">
        <v>80</v>
      </c>
      <c r="BC5" s="1" t="s">
        <v>80</v>
      </c>
      <c r="BD5" s="1" t="s">
        <v>80</v>
      </c>
      <c r="BE5" s="1" t="s">
        <v>80</v>
      </c>
    </row>
    <row r="6" spans="1:57" x14ac:dyDescent="0.2">
      <c r="A6" s="1" t="s">
        <v>14</v>
      </c>
      <c r="B6" s="1" t="s">
        <v>5</v>
      </c>
      <c r="C6" s="1" t="s">
        <v>4</v>
      </c>
      <c r="D6" s="1" t="s">
        <v>15</v>
      </c>
      <c r="E6" s="1" t="s">
        <v>4</v>
      </c>
      <c r="F6" s="1" t="s">
        <v>4</v>
      </c>
      <c r="G6" s="1" t="s">
        <v>4</v>
      </c>
      <c r="H6" s="1" t="s">
        <v>4</v>
      </c>
      <c r="I6" s="1" t="s">
        <v>24</v>
      </c>
      <c r="J6" s="1" t="s">
        <v>16</v>
      </c>
      <c r="K6" s="1" t="s">
        <v>17</v>
      </c>
      <c r="L6" s="1" t="s">
        <v>4</v>
      </c>
      <c r="M6" s="1" t="s">
        <v>15</v>
      </c>
      <c r="N6" s="1" t="s">
        <v>4</v>
      </c>
      <c r="O6" s="1" t="s">
        <v>4</v>
      </c>
      <c r="P6" s="1" t="s">
        <v>4</v>
      </c>
      <c r="Q6" s="1" t="s">
        <v>4</v>
      </c>
      <c r="R6" s="1" t="s">
        <v>4</v>
      </c>
      <c r="S6" s="1" t="s">
        <v>24</v>
      </c>
      <c r="T6" s="1" t="s">
        <v>16</v>
      </c>
      <c r="U6" s="1" t="s">
        <v>17</v>
      </c>
      <c r="V6" s="1" t="s">
        <v>4</v>
      </c>
      <c r="W6" s="1" t="s">
        <v>15</v>
      </c>
      <c r="X6" s="1" t="s">
        <v>4</v>
      </c>
      <c r="Y6" s="1" t="s">
        <v>4</v>
      </c>
      <c r="Z6" s="1" t="s">
        <v>4</v>
      </c>
      <c r="AA6" s="1" t="s">
        <v>4</v>
      </c>
      <c r="AB6" s="1" t="s">
        <v>24</v>
      </c>
      <c r="AC6" s="1" t="s">
        <v>16</v>
      </c>
      <c r="AD6" s="1" t="s">
        <v>17</v>
      </c>
      <c r="AE6" s="1" t="s">
        <v>4</v>
      </c>
      <c r="AF6" s="1" t="s">
        <v>15</v>
      </c>
      <c r="AG6" s="1" t="s">
        <v>4</v>
      </c>
      <c r="AH6" s="1" t="s">
        <v>4</v>
      </c>
      <c r="AI6" s="1" t="s">
        <v>4</v>
      </c>
      <c r="AJ6" s="1" t="s">
        <v>4</v>
      </c>
      <c r="AK6" s="1" t="s">
        <v>24</v>
      </c>
      <c r="AL6" s="1" t="s">
        <v>16</v>
      </c>
      <c r="AM6" s="1" t="s">
        <v>17</v>
      </c>
      <c r="AN6" s="1" t="s">
        <v>4</v>
      </c>
      <c r="AO6" s="1" t="s">
        <v>15</v>
      </c>
      <c r="AP6" s="1" t="s">
        <v>4</v>
      </c>
      <c r="AQ6" s="1" t="s">
        <v>4</v>
      </c>
      <c r="AR6" s="1" t="s">
        <v>4</v>
      </c>
      <c r="AS6" s="1" t="s">
        <v>4</v>
      </c>
      <c r="AT6" s="1" t="s">
        <v>24</v>
      </c>
      <c r="AU6" s="1" t="s">
        <v>16</v>
      </c>
      <c r="AV6" s="1" t="s">
        <v>17</v>
      </c>
      <c r="AW6" s="1" t="s">
        <v>4</v>
      </c>
      <c r="AX6" s="1" t="s">
        <v>15</v>
      </c>
      <c r="AY6" s="1" t="s">
        <v>4</v>
      </c>
      <c r="AZ6" s="1" t="s">
        <v>4</v>
      </c>
      <c r="BA6" s="1" t="s">
        <v>4</v>
      </c>
      <c r="BB6" s="1" t="s">
        <v>4</v>
      </c>
      <c r="BC6" s="1" t="s">
        <v>24</v>
      </c>
      <c r="BD6" s="1" t="s">
        <v>16</v>
      </c>
      <c r="BE6" s="1" t="s">
        <v>17</v>
      </c>
    </row>
    <row r="7" spans="1:57" x14ac:dyDescent="0.2">
      <c r="A7" s="1" t="s">
        <v>18</v>
      </c>
      <c r="B7" s="1" t="s">
        <v>5</v>
      </c>
      <c r="C7" s="1" t="s">
        <v>19</v>
      </c>
      <c r="D7" s="1" t="s">
        <v>20</v>
      </c>
      <c r="E7" s="1" t="s">
        <v>19</v>
      </c>
      <c r="F7" s="1" t="s">
        <v>19</v>
      </c>
      <c r="G7" s="1" t="s">
        <v>19</v>
      </c>
      <c r="H7" s="1" t="s">
        <v>19</v>
      </c>
      <c r="I7" s="1" t="s">
        <v>20</v>
      </c>
      <c r="J7" s="1" t="s">
        <v>21</v>
      </c>
      <c r="K7" s="1" t="s">
        <v>21</v>
      </c>
      <c r="L7" s="1" t="s">
        <v>19</v>
      </c>
      <c r="M7" s="1" t="s">
        <v>20</v>
      </c>
      <c r="N7" s="1" t="s">
        <v>19</v>
      </c>
      <c r="O7" s="1" t="s">
        <v>19</v>
      </c>
      <c r="P7" s="1" t="s">
        <v>19</v>
      </c>
      <c r="Q7" s="1" t="s">
        <v>19</v>
      </c>
      <c r="R7" s="1" t="s">
        <v>19</v>
      </c>
      <c r="S7" s="1" t="s">
        <v>20</v>
      </c>
      <c r="T7" s="1" t="s">
        <v>21</v>
      </c>
      <c r="U7" s="1" t="s">
        <v>21</v>
      </c>
      <c r="V7" s="1" t="s">
        <v>19</v>
      </c>
      <c r="W7" s="1" t="s">
        <v>20</v>
      </c>
      <c r="X7" s="1" t="s">
        <v>19</v>
      </c>
      <c r="Y7" s="1" t="s">
        <v>19</v>
      </c>
      <c r="Z7" s="1" t="s">
        <v>19</v>
      </c>
      <c r="AA7" s="1" t="s">
        <v>19</v>
      </c>
      <c r="AB7" s="1" t="s">
        <v>20</v>
      </c>
      <c r="AC7" s="1" t="s">
        <v>21</v>
      </c>
      <c r="AD7" s="1" t="s">
        <v>21</v>
      </c>
      <c r="AE7" s="1" t="s">
        <v>19</v>
      </c>
      <c r="AF7" s="1" t="s">
        <v>20</v>
      </c>
      <c r="AG7" s="1" t="s">
        <v>19</v>
      </c>
      <c r="AH7" s="1" t="s">
        <v>19</v>
      </c>
      <c r="AI7" s="1" t="s">
        <v>19</v>
      </c>
      <c r="AJ7" s="1" t="s">
        <v>19</v>
      </c>
      <c r="AK7" s="1" t="s">
        <v>20</v>
      </c>
      <c r="AL7" s="1" t="s">
        <v>21</v>
      </c>
      <c r="AM7" s="1" t="s">
        <v>21</v>
      </c>
      <c r="AN7" s="1" t="s">
        <v>19</v>
      </c>
      <c r="AO7" s="1" t="s">
        <v>20</v>
      </c>
      <c r="AP7" s="1" t="s">
        <v>19</v>
      </c>
      <c r="AQ7" s="1" t="s">
        <v>19</v>
      </c>
      <c r="AR7" s="1" t="s">
        <v>19</v>
      </c>
      <c r="AS7" s="1" t="s">
        <v>19</v>
      </c>
      <c r="AT7" s="1" t="s">
        <v>20</v>
      </c>
      <c r="AU7" s="1" t="s">
        <v>21</v>
      </c>
      <c r="AV7" s="1" t="s">
        <v>21</v>
      </c>
      <c r="AW7" s="1" t="s">
        <v>19</v>
      </c>
      <c r="AX7" s="1" t="s">
        <v>20</v>
      </c>
      <c r="AY7" s="1" t="s">
        <v>19</v>
      </c>
      <c r="AZ7" s="1" t="s">
        <v>19</v>
      </c>
      <c r="BA7" s="1" t="s">
        <v>19</v>
      </c>
      <c r="BB7" s="1" t="s">
        <v>19</v>
      </c>
      <c r="BC7" s="1" t="s">
        <v>20</v>
      </c>
      <c r="BD7" s="1" t="s">
        <v>21</v>
      </c>
      <c r="BE7" s="1" t="s">
        <v>21</v>
      </c>
    </row>
    <row r="8" spans="1:57" x14ac:dyDescent="0.2">
      <c r="A8" s="1">
        <v>1</v>
      </c>
      <c r="B8" s="3">
        <v>44043</v>
      </c>
      <c r="C8" s="2">
        <v>1800.0000000000005</v>
      </c>
      <c r="D8" s="5">
        <v>0.49999999999999989</v>
      </c>
      <c r="E8" s="2">
        <v>8300.0000000000018</v>
      </c>
      <c r="F8" s="2">
        <v>0</v>
      </c>
      <c r="G8" s="2">
        <v>8300.0000000000018</v>
      </c>
      <c r="H8" s="2">
        <v>8000.0000000000009</v>
      </c>
      <c r="I8" s="5">
        <v>0.02</v>
      </c>
      <c r="J8" s="2">
        <v>16116000</v>
      </c>
      <c r="K8" s="4">
        <v>2240.0899999999997</v>
      </c>
      <c r="L8" s="2">
        <v>1200</v>
      </c>
      <c r="M8" s="5">
        <v>0</v>
      </c>
      <c r="N8" s="2">
        <v>28000.000000000004</v>
      </c>
      <c r="O8" s="2">
        <v>0</v>
      </c>
      <c r="P8" s="2">
        <v>0</v>
      </c>
      <c r="Q8" s="2">
        <v>28000.000000000004</v>
      </c>
      <c r="R8" s="2">
        <v>17000</v>
      </c>
      <c r="S8" s="5">
        <v>0</v>
      </c>
      <c r="T8" s="2">
        <v>19680000</v>
      </c>
      <c r="U8" s="4">
        <v>1843.5199999999998</v>
      </c>
      <c r="V8" s="2">
        <v>1100.0000000000005</v>
      </c>
      <c r="W8" s="5">
        <v>0</v>
      </c>
      <c r="X8" s="2">
        <v>28500</v>
      </c>
      <c r="Y8" s="2">
        <v>0</v>
      </c>
      <c r="Z8" s="2">
        <v>28500</v>
      </c>
      <c r="AA8" s="2">
        <v>29000.000000000004</v>
      </c>
      <c r="AB8" s="5">
        <v>0</v>
      </c>
      <c r="AC8" s="2">
        <v>20196000</v>
      </c>
      <c r="AD8" s="4">
        <v>1612.2699999999998</v>
      </c>
      <c r="AE8" s="2">
        <v>500.00000000000006</v>
      </c>
      <c r="AF8" s="5">
        <v>0</v>
      </c>
      <c r="AG8" s="2">
        <v>32700.000000000004</v>
      </c>
      <c r="AH8" s="2">
        <v>0</v>
      </c>
      <c r="AI8" s="2">
        <v>32700.000000000004</v>
      </c>
      <c r="AJ8" s="2">
        <v>29000.000000000004</v>
      </c>
      <c r="AK8" s="5">
        <v>0.16</v>
      </c>
      <c r="AL8" s="2">
        <v>1649000</v>
      </c>
      <c r="AM8" s="4">
        <v>1420.23</v>
      </c>
      <c r="AN8" s="2">
        <v>500.00000000000006</v>
      </c>
      <c r="AO8" s="5">
        <v>0</v>
      </c>
      <c r="AP8" s="2">
        <v>24700</v>
      </c>
      <c r="AQ8" s="2">
        <v>0</v>
      </c>
      <c r="AR8" s="2">
        <v>24700</v>
      </c>
      <c r="AS8" s="2">
        <v>36000</v>
      </c>
      <c r="AT8" s="5">
        <v>0.22</v>
      </c>
      <c r="AU8" s="2">
        <v>3640000</v>
      </c>
      <c r="AV8" s="4">
        <v>1357.9</v>
      </c>
      <c r="AW8" s="2">
        <v>200</v>
      </c>
      <c r="AX8" s="5">
        <v>0.2</v>
      </c>
      <c r="AY8" s="2">
        <v>29900</v>
      </c>
      <c r="AZ8" s="2">
        <v>0</v>
      </c>
      <c r="BA8" s="2">
        <v>29900</v>
      </c>
      <c r="BB8" s="2">
        <v>29000.000000000004</v>
      </c>
      <c r="BC8" s="5">
        <v>0</v>
      </c>
      <c r="BD8" s="2">
        <v>358999.99999999994</v>
      </c>
      <c r="BE8" s="4">
        <v>1207.3599999999999</v>
      </c>
    </row>
    <row r="9" spans="1:57" x14ac:dyDescent="0.2">
      <c r="A9" s="1">
        <v>2</v>
      </c>
      <c r="B9" s="3">
        <v>44044</v>
      </c>
      <c r="C9" s="2">
        <v>2400</v>
      </c>
      <c r="D9" s="5">
        <v>0.4</v>
      </c>
      <c r="E9" s="2">
        <v>8500</v>
      </c>
      <c r="F9" s="2">
        <v>0</v>
      </c>
      <c r="G9" s="2">
        <v>8500</v>
      </c>
      <c r="H9" s="2">
        <v>8000.0000000000009</v>
      </c>
      <c r="I9" s="5">
        <v>0</v>
      </c>
      <c r="J9" s="2">
        <v>16109999.999999998</v>
      </c>
      <c r="K9" s="4">
        <v>2240.06</v>
      </c>
      <c r="L9" s="2">
        <v>2500.0000000000005</v>
      </c>
      <c r="M9" s="5">
        <v>0</v>
      </c>
      <c r="N9" s="2">
        <v>28100.000000000004</v>
      </c>
      <c r="O9" s="2">
        <v>0</v>
      </c>
      <c r="P9" s="2">
        <v>0</v>
      </c>
      <c r="Q9" s="2">
        <v>28100.000000000004</v>
      </c>
      <c r="R9" s="2">
        <v>16000.000000000002</v>
      </c>
      <c r="S9" s="5">
        <v>0</v>
      </c>
      <c r="T9" s="2">
        <v>19650999.999999996</v>
      </c>
      <c r="U9" s="4">
        <v>1843.3899999999999</v>
      </c>
      <c r="V9" s="2">
        <v>1100.0000000000002</v>
      </c>
      <c r="W9" s="5">
        <v>0</v>
      </c>
      <c r="X9" s="2">
        <v>27000.000000000004</v>
      </c>
      <c r="Y9" s="2">
        <v>0</v>
      </c>
      <c r="Z9" s="2">
        <v>27000.000000000004</v>
      </c>
      <c r="AA9" s="2">
        <v>29000.000000000004</v>
      </c>
      <c r="AB9" s="5">
        <v>0</v>
      </c>
      <c r="AC9" s="2">
        <v>20198000</v>
      </c>
      <c r="AD9" s="4">
        <v>1612.2699999999998</v>
      </c>
      <c r="AE9" s="2">
        <v>600</v>
      </c>
      <c r="AF9" s="5">
        <v>0</v>
      </c>
      <c r="AG9" s="2">
        <v>16300</v>
      </c>
      <c r="AH9" s="2">
        <v>0</v>
      </c>
      <c r="AI9" s="2">
        <v>16300</v>
      </c>
      <c r="AJ9" s="2">
        <v>26000</v>
      </c>
      <c r="AK9" s="5">
        <v>0</v>
      </c>
      <c r="AL9" s="2">
        <v>1666999.9999999998</v>
      </c>
      <c r="AM9" s="4">
        <v>1420.54</v>
      </c>
      <c r="AN9" s="2">
        <v>800</v>
      </c>
      <c r="AO9" s="5">
        <v>0</v>
      </c>
      <c r="AP9" s="2">
        <v>25600</v>
      </c>
      <c r="AQ9" s="2">
        <v>0</v>
      </c>
      <c r="AR9" s="2">
        <v>25600</v>
      </c>
      <c r="AS9" s="2">
        <v>19000</v>
      </c>
      <c r="AT9" s="5">
        <v>0.01</v>
      </c>
      <c r="AU9" s="2">
        <v>3624999.9999999995</v>
      </c>
      <c r="AV9" s="4">
        <v>1357.52</v>
      </c>
      <c r="AW9" s="2">
        <v>100</v>
      </c>
      <c r="AX9" s="5">
        <v>0.2</v>
      </c>
      <c r="AY9" s="2">
        <v>30100</v>
      </c>
      <c r="AZ9" s="2">
        <v>0</v>
      </c>
      <c r="BA9" s="2">
        <v>30100</v>
      </c>
      <c r="BB9" s="2">
        <v>29000.000000000004</v>
      </c>
      <c r="BC9" s="5">
        <v>0</v>
      </c>
      <c r="BD9" s="2">
        <v>357000</v>
      </c>
      <c r="BE9" s="4">
        <v>1207.25</v>
      </c>
    </row>
    <row r="10" spans="1:57" x14ac:dyDescent="0.2">
      <c r="A10" s="1">
        <v>3</v>
      </c>
      <c r="B10" s="3">
        <v>44045</v>
      </c>
      <c r="C10" s="2">
        <v>2400</v>
      </c>
      <c r="D10" s="5">
        <v>0.4</v>
      </c>
      <c r="E10" s="2">
        <v>8100.0000000000009</v>
      </c>
      <c r="F10" s="2">
        <v>0</v>
      </c>
      <c r="G10" s="2">
        <v>8100.0000000000009</v>
      </c>
      <c r="H10" s="2">
        <v>8000.0000000000009</v>
      </c>
      <c r="I10" s="5">
        <v>0</v>
      </c>
      <c r="J10" s="2">
        <v>16104999.999999998</v>
      </c>
      <c r="K10" s="4">
        <v>2239.9499999999998</v>
      </c>
      <c r="L10" s="2">
        <v>2500.0000000000005</v>
      </c>
      <c r="M10" s="5">
        <v>0</v>
      </c>
      <c r="N10" s="2">
        <v>28200.000000000004</v>
      </c>
      <c r="O10" s="2">
        <v>0</v>
      </c>
      <c r="P10" s="2">
        <v>0</v>
      </c>
      <c r="Q10" s="2">
        <v>28200.000000000004</v>
      </c>
      <c r="R10" s="2">
        <v>16000.000000000002</v>
      </c>
      <c r="S10" s="5">
        <v>0</v>
      </c>
      <c r="T10" s="2">
        <v>19622000</v>
      </c>
      <c r="U10" s="4">
        <v>1843.25</v>
      </c>
      <c r="V10" s="2">
        <v>2400</v>
      </c>
      <c r="W10" s="5">
        <v>0</v>
      </c>
      <c r="X10" s="2">
        <v>23500</v>
      </c>
      <c r="Y10" s="2">
        <v>0</v>
      </c>
      <c r="Z10" s="2">
        <v>23500</v>
      </c>
      <c r="AA10" s="2">
        <v>29000.000000000004</v>
      </c>
      <c r="AB10" s="5">
        <v>0</v>
      </c>
      <c r="AC10" s="2">
        <v>20204000</v>
      </c>
      <c r="AD10" s="4">
        <v>1612.25</v>
      </c>
      <c r="AE10" s="2">
        <v>600</v>
      </c>
      <c r="AF10" s="5">
        <v>0</v>
      </c>
      <c r="AG10" s="2">
        <v>15500</v>
      </c>
      <c r="AH10" s="2">
        <v>0</v>
      </c>
      <c r="AI10" s="2">
        <v>15500</v>
      </c>
      <c r="AJ10" s="2">
        <v>24000</v>
      </c>
      <c r="AK10" s="5">
        <v>0</v>
      </c>
      <c r="AL10" s="2">
        <v>1683000</v>
      </c>
      <c r="AM10" s="4">
        <v>1420.8</v>
      </c>
      <c r="AN10" s="2">
        <v>800</v>
      </c>
      <c r="AO10" s="5">
        <v>0</v>
      </c>
      <c r="AP10" s="2">
        <v>26300.000000000004</v>
      </c>
      <c r="AQ10" s="2">
        <v>0</v>
      </c>
      <c r="AR10" s="2">
        <v>26300.000000000004</v>
      </c>
      <c r="AS10" s="2">
        <v>17000</v>
      </c>
      <c r="AT10" s="5">
        <v>0</v>
      </c>
      <c r="AU10" s="2">
        <v>3605000</v>
      </c>
      <c r="AV10" s="4">
        <v>1357.26</v>
      </c>
      <c r="AW10" s="2">
        <v>100</v>
      </c>
      <c r="AX10" s="5">
        <v>0.2</v>
      </c>
      <c r="AY10" s="2">
        <v>30000.000000000004</v>
      </c>
      <c r="AZ10" s="2">
        <v>0</v>
      </c>
      <c r="BA10" s="2">
        <v>30000.000000000004</v>
      </c>
      <c r="BB10" s="2">
        <v>29000.000000000004</v>
      </c>
      <c r="BC10" s="5">
        <v>0</v>
      </c>
      <c r="BD10" s="2">
        <v>355000</v>
      </c>
      <c r="BE10" s="4">
        <v>1207.0999999999999</v>
      </c>
    </row>
    <row r="11" spans="1:57" x14ac:dyDescent="0.2">
      <c r="A11" s="1">
        <v>4</v>
      </c>
      <c r="B11" s="3">
        <v>44046</v>
      </c>
      <c r="C11" s="2">
        <v>2400</v>
      </c>
      <c r="D11" s="5">
        <v>0.4</v>
      </c>
      <c r="E11" s="2">
        <v>8500</v>
      </c>
      <c r="F11" s="2">
        <v>0</v>
      </c>
      <c r="G11" s="2">
        <v>8500</v>
      </c>
      <c r="H11" s="2">
        <v>8000.0000000000009</v>
      </c>
      <c r="I11" s="5">
        <v>0</v>
      </c>
      <c r="J11" s="2">
        <v>16099000</v>
      </c>
      <c r="K11" s="4">
        <v>2240.0100000000002</v>
      </c>
      <c r="L11" s="2">
        <v>2500.0000000000005</v>
      </c>
      <c r="M11" s="5">
        <v>0</v>
      </c>
      <c r="N11" s="2">
        <v>28200.000000000004</v>
      </c>
      <c r="O11" s="2">
        <v>0</v>
      </c>
      <c r="P11" s="2">
        <v>0</v>
      </c>
      <c r="Q11" s="2">
        <v>28200.000000000004</v>
      </c>
      <c r="R11" s="2">
        <v>16000.000000000002</v>
      </c>
      <c r="S11" s="5">
        <v>0</v>
      </c>
      <c r="T11" s="2">
        <v>19593000</v>
      </c>
      <c r="U11" s="4">
        <v>1843.1199999999997</v>
      </c>
      <c r="V11" s="2">
        <v>2400</v>
      </c>
      <c r="W11" s="5">
        <v>0</v>
      </c>
      <c r="X11" s="2">
        <v>26500</v>
      </c>
      <c r="Y11" s="2">
        <v>0</v>
      </c>
      <c r="Z11" s="2">
        <v>26500</v>
      </c>
      <c r="AA11" s="2">
        <v>29000.000000000004</v>
      </c>
      <c r="AB11" s="5">
        <v>0</v>
      </c>
      <c r="AC11" s="2">
        <v>20204000</v>
      </c>
      <c r="AD11" s="4">
        <v>1612.1399999999999</v>
      </c>
      <c r="AE11" s="2">
        <v>600</v>
      </c>
      <c r="AF11" s="5">
        <v>0</v>
      </c>
      <c r="AG11" s="2">
        <v>30100</v>
      </c>
      <c r="AH11" s="2">
        <v>0</v>
      </c>
      <c r="AI11" s="2">
        <v>30100</v>
      </c>
      <c r="AJ11" s="2">
        <v>24000</v>
      </c>
      <c r="AK11" s="5">
        <v>0</v>
      </c>
      <c r="AL11" s="2">
        <v>1670000</v>
      </c>
      <c r="AM11" s="4">
        <v>1420.57</v>
      </c>
      <c r="AN11" s="2">
        <v>800</v>
      </c>
      <c r="AO11" s="5">
        <v>0</v>
      </c>
      <c r="AP11" s="2">
        <v>26200.000000000004</v>
      </c>
      <c r="AQ11" s="2">
        <v>0</v>
      </c>
      <c r="AR11" s="2">
        <v>26200.000000000004</v>
      </c>
      <c r="AS11" s="2">
        <v>26000</v>
      </c>
      <c r="AT11" s="5">
        <v>0</v>
      </c>
      <c r="AU11" s="2">
        <v>3602999.9999999995</v>
      </c>
      <c r="AV11" s="4">
        <v>1357.23</v>
      </c>
      <c r="AW11" s="2">
        <v>400</v>
      </c>
      <c r="AX11" s="5">
        <v>0.6</v>
      </c>
      <c r="AY11" s="2">
        <v>22500.000000000004</v>
      </c>
      <c r="AZ11" s="2">
        <v>7400.0000000000009</v>
      </c>
      <c r="BA11" s="2">
        <v>29900</v>
      </c>
      <c r="BB11" s="2">
        <v>29000.000000000004</v>
      </c>
      <c r="BC11" s="5">
        <v>0</v>
      </c>
      <c r="BD11" s="2">
        <v>352000</v>
      </c>
      <c r="BE11" s="4">
        <v>1207.1199999999997</v>
      </c>
    </row>
    <row r="12" spans="1:57" x14ac:dyDescent="0.2">
      <c r="A12" s="1">
        <v>5</v>
      </c>
      <c r="B12" s="3">
        <v>44047</v>
      </c>
      <c r="C12" s="2">
        <v>1800.0000000000002</v>
      </c>
      <c r="D12" s="5">
        <v>0.3</v>
      </c>
      <c r="E12" s="2">
        <v>8800.0000000000018</v>
      </c>
      <c r="F12" s="2">
        <v>0</v>
      </c>
      <c r="G12" s="2">
        <v>8800.0000000000018</v>
      </c>
      <c r="H12" s="2">
        <v>7000.0000000000009</v>
      </c>
      <c r="I12" s="5">
        <v>0</v>
      </c>
      <c r="J12" s="2">
        <v>16091999.999999998</v>
      </c>
      <c r="K12" s="4">
        <v>2240.0100000000002</v>
      </c>
      <c r="L12" s="2">
        <v>2500.0000000000005</v>
      </c>
      <c r="M12" s="5">
        <v>0</v>
      </c>
      <c r="N12" s="2">
        <v>28200.000000000004</v>
      </c>
      <c r="O12" s="2">
        <v>0</v>
      </c>
      <c r="P12" s="2">
        <v>0</v>
      </c>
      <c r="Q12" s="2">
        <v>28200.000000000004</v>
      </c>
      <c r="R12" s="2">
        <v>15000.000000000002</v>
      </c>
      <c r="S12" s="5">
        <v>0</v>
      </c>
      <c r="T12" s="2">
        <v>19561999.999999996</v>
      </c>
      <c r="U12" s="4">
        <v>1843.19</v>
      </c>
      <c r="V12" s="2">
        <v>2400</v>
      </c>
      <c r="W12" s="5">
        <v>0</v>
      </c>
      <c r="X12" s="2">
        <v>26200.000000000004</v>
      </c>
      <c r="Y12" s="2">
        <v>0</v>
      </c>
      <c r="Z12" s="2">
        <v>26200.000000000004</v>
      </c>
      <c r="AA12" s="2">
        <v>29000.000000000004</v>
      </c>
      <c r="AB12" s="5">
        <v>0</v>
      </c>
      <c r="AC12" s="2">
        <v>20205000</v>
      </c>
      <c r="AD12" s="4">
        <v>1612.2699999999998</v>
      </c>
      <c r="AE12" s="2">
        <v>600</v>
      </c>
      <c r="AF12" s="5">
        <v>0</v>
      </c>
      <c r="AG12" s="2">
        <v>30400.000000000004</v>
      </c>
      <c r="AH12" s="2">
        <v>0</v>
      </c>
      <c r="AI12" s="2">
        <v>30400.000000000004</v>
      </c>
      <c r="AJ12" s="2">
        <v>26000</v>
      </c>
      <c r="AK12" s="5">
        <v>0.28000000000000003</v>
      </c>
      <c r="AL12" s="2">
        <v>1660000</v>
      </c>
      <c r="AM12" s="4">
        <v>1420.44</v>
      </c>
      <c r="AN12" s="2">
        <v>800</v>
      </c>
      <c r="AO12" s="5">
        <v>0</v>
      </c>
      <c r="AP12" s="2">
        <v>25600</v>
      </c>
      <c r="AQ12" s="2">
        <v>700</v>
      </c>
      <c r="AR12" s="2">
        <v>26300.000000000004</v>
      </c>
      <c r="AS12" s="2">
        <v>31000</v>
      </c>
      <c r="AT12" s="5">
        <v>0</v>
      </c>
      <c r="AU12" s="2">
        <v>3610999.9999999995</v>
      </c>
      <c r="AV12" s="4">
        <v>1357.24</v>
      </c>
      <c r="AW12" s="2">
        <v>200</v>
      </c>
      <c r="AX12" s="5">
        <v>0.3</v>
      </c>
      <c r="AY12" s="2">
        <v>19400</v>
      </c>
      <c r="AZ12" s="2">
        <v>10600.000000000002</v>
      </c>
      <c r="BA12" s="2">
        <v>30000.000000000004</v>
      </c>
      <c r="BB12" s="2">
        <v>30000.000000000004</v>
      </c>
      <c r="BC12" s="5">
        <v>0</v>
      </c>
      <c r="BD12" s="2">
        <v>352000</v>
      </c>
      <c r="BE12" s="4">
        <v>1207.05</v>
      </c>
    </row>
    <row r="13" spans="1:57" x14ac:dyDescent="0.2">
      <c r="A13" s="1">
        <v>6</v>
      </c>
      <c r="B13" s="3">
        <v>44048</v>
      </c>
      <c r="C13" s="2">
        <v>1800.0000000000002</v>
      </c>
      <c r="D13" s="5">
        <v>0.3</v>
      </c>
      <c r="E13" s="2">
        <v>8800.0000000000018</v>
      </c>
      <c r="F13" s="2">
        <v>0</v>
      </c>
      <c r="G13" s="2">
        <v>8800.0000000000018</v>
      </c>
      <c r="H13" s="2">
        <v>7000.0000000000009</v>
      </c>
      <c r="I13" s="5">
        <v>0</v>
      </c>
      <c r="J13" s="2">
        <v>16084999.999999998</v>
      </c>
      <c r="K13" s="4">
        <v>2239.9499999999998</v>
      </c>
      <c r="L13" s="2">
        <v>2500.0000000000005</v>
      </c>
      <c r="M13" s="5">
        <v>0</v>
      </c>
      <c r="N13" s="2">
        <v>28200.000000000004</v>
      </c>
      <c r="O13" s="2">
        <v>0</v>
      </c>
      <c r="P13" s="2">
        <v>0</v>
      </c>
      <c r="Q13" s="2">
        <v>28200.000000000004</v>
      </c>
      <c r="R13" s="2">
        <v>14000.000000000002</v>
      </c>
      <c r="S13" s="5">
        <v>0</v>
      </c>
      <c r="T13" s="2">
        <v>19528999.999999996</v>
      </c>
      <c r="U13" s="4">
        <v>1843.02</v>
      </c>
      <c r="V13" s="2">
        <v>2400</v>
      </c>
      <c r="W13" s="5">
        <v>0</v>
      </c>
      <c r="X13" s="2">
        <v>26300.000000000004</v>
      </c>
      <c r="Y13" s="2">
        <v>0</v>
      </c>
      <c r="Z13" s="2">
        <v>26300.000000000004</v>
      </c>
      <c r="AA13" s="2">
        <v>29000.000000000004</v>
      </c>
      <c r="AB13" s="5">
        <v>0</v>
      </c>
      <c r="AC13" s="2">
        <v>20206000</v>
      </c>
      <c r="AD13" s="4">
        <v>1612.28</v>
      </c>
      <c r="AE13" s="2">
        <v>600</v>
      </c>
      <c r="AF13" s="5">
        <v>0</v>
      </c>
      <c r="AG13" s="2">
        <v>29800.000000000004</v>
      </c>
      <c r="AH13" s="2">
        <v>0</v>
      </c>
      <c r="AI13" s="2">
        <v>29800.000000000004</v>
      </c>
      <c r="AJ13" s="2">
        <v>26000</v>
      </c>
      <c r="AK13" s="5">
        <v>0</v>
      </c>
      <c r="AL13" s="2">
        <v>1651000</v>
      </c>
      <c r="AM13" s="4">
        <v>1420.33</v>
      </c>
      <c r="AN13" s="2">
        <v>800</v>
      </c>
      <c r="AO13" s="5">
        <v>0</v>
      </c>
      <c r="AP13" s="2">
        <v>27200.000000000004</v>
      </c>
      <c r="AQ13" s="2">
        <v>0</v>
      </c>
      <c r="AR13" s="2">
        <v>27200.000000000004</v>
      </c>
      <c r="AS13" s="2">
        <v>31000</v>
      </c>
      <c r="AT13" s="5">
        <v>0</v>
      </c>
      <c r="AU13" s="2">
        <v>3617000</v>
      </c>
      <c r="AV13" s="4">
        <v>1357.49</v>
      </c>
      <c r="AW13" s="2">
        <v>200</v>
      </c>
      <c r="AX13" s="5">
        <v>0.3</v>
      </c>
      <c r="AY13" s="2">
        <v>19500</v>
      </c>
      <c r="AZ13" s="2">
        <v>10500</v>
      </c>
      <c r="BA13" s="2">
        <v>30000.000000000004</v>
      </c>
      <c r="BB13" s="2">
        <v>30000.000000000004</v>
      </c>
      <c r="BC13" s="5">
        <v>0.47</v>
      </c>
      <c r="BD13" s="2">
        <v>352000</v>
      </c>
      <c r="BE13" s="4">
        <v>1207.0899999999997</v>
      </c>
    </row>
    <row r="14" spans="1:57" x14ac:dyDescent="0.2">
      <c r="A14" s="1">
        <v>7</v>
      </c>
      <c r="B14" s="3">
        <v>44049</v>
      </c>
      <c r="C14" s="2">
        <v>2400</v>
      </c>
      <c r="D14" s="5">
        <v>0.4</v>
      </c>
      <c r="E14" s="2">
        <v>8400</v>
      </c>
      <c r="F14" s="2">
        <v>0</v>
      </c>
      <c r="G14" s="2">
        <v>8400</v>
      </c>
      <c r="H14" s="2">
        <v>8000.0000000000009</v>
      </c>
      <c r="I14" s="5">
        <v>0</v>
      </c>
      <c r="J14" s="2">
        <v>16079000</v>
      </c>
      <c r="K14" s="4">
        <v>2239.91</v>
      </c>
      <c r="L14" s="2">
        <v>2500.0000000000005</v>
      </c>
      <c r="M14" s="5">
        <v>0</v>
      </c>
      <c r="N14" s="2">
        <v>28200.000000000004</v>
      </c>
      <c r="O14" s="2">
        <v>0</v>
      </c>
      <c r="P14" s="2">
        <v>0</v>
      </c>
      <c r="Q14" s="2">
        <v>28200.000000000004</v>
      </c>
      <c r="R14" s="2">
        <v>13000</v>
      </c>
      <c r="S14" s="5">
        <v>0</v>
      </c>
      <c r="T14" s="2">
        <v>19493999.999999996</v>
      </c>
      <c r="U14" s="4">
        <v>1842.8399999999997</v>
      </c>
      <c r="V14" s="2">
        <v>2400</v>
      </c>
      <c r="W14" s="5">
        <v>0</v>
      </c>
      <c r="X14" s="2">
        <v>26400.000000000004</v>
      </c>
      <c r="Y14" s="2">
        <v>0</v>
      </c>
      <c r="Z14" s="2">
        <v>26400.000000000004</v>
      </c>
      <c r="AA14" s="2">
        <v>29000.000000000004</v>
      </c>
      <c r="AB14" s="5">
        <v>0</v>
      </c>
      <c r="AC14" s="2">
        <v>20206000</v>
      </c>
      <c r="AD14" s="4">
        <v>1612.1499999999999</v>
      </c>
      <c r="AE14" s="2">
        <v>600</v>
      </c>
      <c r="AF14" s="5">
        <v>0</v>
      </c>
      <c r="AG14" s="2">
        <v>30200.000000000004</v>
      </c>
      <c r="AH14" s="2">
        <v>0</v>
      </c>
      <c r="AI14" s="2">
        <v>30200.000000000004</v>
      </c>
      <c r="AJ14" s="2">
        <v>27000.000000000004</v>
      </c>
      <c r="AK14" s="5">
        <v>0</v>
      </c>
      <c r="AL14" s="2">
        <v>1642999.9999999998</v>
      </c>
      <c r="AM14" s="4">
        <v>1420.2</v>
      </c>
      <c r="AN14" s="2">
        <v>800</v>
      </c>
      <c r="AO14" s="5">
        <v>0</v>
      </c>
      <c r="AP14" s="2">
        <v>26100.000000000004</v>
      </c>
      <c r="AQ14" s="2">
        <v>0</v>
      </c>
      <c r="AR14" s="2">
        <v>26100.000000000004</v>
      </c>
      <c r="AS14" s="2">
        <v>31000</v>
      </c>
      <c r="AT14" s="5">
        <v>0</v>
      </c>
      <c r="AU14" s="2">
        <v>3624999.9999999995</v>
      </c>
      <c r="AV14" s="4">
        <v>1357.4799999999998</v>
      </c>
      <c r="AW14" s="2">
        <v>100</v>
      </c>
      <c r="AX14" s="5">
        <v>0.2</v>
      </c>
      <c r="AY14" s="2">
        <v>23000.000000000004</v>
      </c>
      <c r="AZ14" s="2">
        <v>6900</v>
      </c>
      <c r="BA14" s="2">
        <v>29900</v>
      </c>
      <c r="BB14" s="2">
        <v>30000.000000000004</v>
      </c>
      <c r="BC14" s="5">
        <v>0</v>
      </c>
      <c r="BD14" s="2">
        <v>352000</v>
      </c>
      <c r="BE14" s="4">
        <v>1207.04</v>
      </c>
    </row>
    <row r="15" spans="1:57" x14ac:dyDescent="0.2">
      <c r="A15" s="1">
        <v>8</v>
      </c>
      <c r="B15" s="3">
        <v>44050</v>
      </c>
      <c r="C15" s="2">
        <v>2400</v>
      </c>
      <c r="D15" s="5">
        <v>0.4</v>
      </c>
      <c r="E15" s="2">
        <v>8700.0000000000018</v>
      </c>
      <c r="F15" s="2">
        <v>0</v>
      </c>
      <c r="G15" s="2">
        <v>8700.0000000000018</v>
      </c>
      <c r="H15" s="2">
        <v>8000.0000000000009</v>
      </c>
      <c r="I15" s="5">
        <v>0</v>
      </c>
      <c r="J15" s="2">
        <v>16072999.999999998</v>
      </c>
      <c r="K15" s="4">
        <v>2239.9</v>
      </c>
      <c r="L15" s="2">
        <v>2500.0000000000005</v>
      </c>
      <c r="M15" s="5">
        <v>0</v>
      </c>
      <c r="N15" s="2">
        <v>28300</v>
      </c>
      <c r="O15" s="2">
        <v>0</v>
      </c>
      <c r="P15" s="2">
        <v>0</v>
      </c>
      <c r="Q15" s="2">
        <v>28300</v>
      </c>
      <c r="R15" s="2">
        <v>14000.000000000002</v>
      </c>
      <c r="S15" s="5">
        <v>0</v>
      </c>
      <c r="T15" s="2">
        <v>19461000</v>
      </c>
      <c r="U15" s="4">
        <v>1842.9099999999999</v>
      </c>
      <c r="V15" s="2">
        <v>2400</v>
      </c>
      <c r="W15" s="5">
        <v>0</v>
      </c>
      <c r="X15" s="2">
        <v>26900</v>
      </c>
      <c r="Y15" s="2">
        <v>0</v>
      </c>
      <c r="Z15" s="2">
        <v>26900</v>
      </c>
      <c r="AA15" s="2">
        <v>29000.000000000004</v>
      </c>
      <c r="AB15" s="5">
        <v>0</v>
      </c>
      <c r="AC15" s="2">
        <v>20205000</v>
      </c>
      <c r="AD15" s="4">
        <v>1612.34</v>
      </c>
      <c r="AE15" s="2">
        <v>600</v>
      </c>
      <c r="AF15" s="5">
        <v>0</v>
      </c>
      <c r="AG15" s="2">
        <v>27500.000000000004</v>
      </c>
      <c r="AH15" s="2">
        <v>0</v>
      </c>
      <c r="AI15" s="2">
        <v>27500.000000000004</v>
      </c>
      <c r="AJ15" s="2">
        <v>29000.000000000004</v>
      </c>
      <c r="AK15" s="5">
        <v>0.40999999999999992</v>
      </c>
      <c r="AL15" s="2">
        <v>1644999.9999999998</v>
      </c>
      <c r="AM15" s="4">
        <v>1420.23</v>
      </c>
      <c r="AN15" s="2">
        <v>800</v>
      </c>
      <c r="AO15" s="5">
        <v>0</v>
      </c>
      <c r="AP15" s="2">
        <v>26300.000000000004</v>
      </c>
      <c r="AQ15" s="2">
        <v>0</v>
      </c>
      <c r="AR15" s="2">
        <v>26300.000000000004</v>
      </c>
      <c r="AS15" s="2">
        <v>30000.000000000004</v>
      </c>
      <c r="AT15" s="5">
        <v>0.04</v>
      </c>
      <c r="AU15" s="2">
        <v>3631000</v>
      </c>
      <c r="AV15" s="4">
        <v>1357.53</v>
      </c>
      <c r="AW15" s="2">
        <v>100</v>
      </c>
      <c r="AX15" s="5">
        <v>0.2</v>
      </c>
      <c r="AY15" s="2">
        <v>30000.000000000004</v>
      </c>
      <c r="AZ15" s="2">
        <v>0</v>
      </c>
      <c r="BA15" s="2">
        <v>30000.000000000004</v>
      </c>
      <c r="BB15" s="2">
        <v>29000.000000000004</v>
      </c>
      <c r="BC15" s="5">
        <v>0</v>
      </c>
      <c r="BD15" s="2">
        <v>349999.99999999994</v>
      </c>
      <c r="BE15" s="4">
        <v>1206.9399999999998</v>
      </c>
    </row>
    <row r="16" spans="1:57" x14ac:dyDescent="0.2">
      <c r="A16" s="1">
        <v>9</v>
      </c>
      <c r="B16" s="3">
        <v>44051</v>
      </c>
      <c r="C16" s="2">
        <v>2400</v>
      </c>
      <c r="D16" s="5">
        <v>0.4</v>
      </c>
      <c r="E16" s="2">
        <v>8800.0000000000018</v>
      </c>
      <c r="F16" s="2">
        <v>0</v>
      </c>
      <c r="G16" s="2">
        <v>8800.0000000000018</v>
      </c>
      <c r="H16" s="2">
        <v>7000.0000000000009</v>
      </c>
      <c r="I16" s="5">
        <v>0</v>
      </c>
      <c r="J16" s="2">
        <v>16065000</v>
      </c>
      <c r="K16" s="4">
        <v>2239.8699999999994</v>
      </c>
      <c r="L16" s="2">
        <v>2500.0000000000005</v>
      </c>
      <c r="M16" s="5">
        <v>0</v>
      </c>
      <c r="N16" s="2">
        <v>28200.000000000004</v>
      </c>
      <c r="O16" s="2">
        <v>0</v>
      </c>
      <c r="P16" s="2">
        <v>0</v>
      </c>
      <c r="Q16" s="2">
        <v>28200.000000000004</v>
      </c>
      <c r="R16" s="2">
        <v>14000.000000000002</v>
      </c>
      <c r="S16" s="5">
        <v>0</v>
      </c>
      <c r="T16" s="2">
        <v>19428000</v>
      </c>
      <c r="U16" s="4">
        <v>1842.6899999999998</v>
      </c>
      <c r="V16" s="2">
        <v>2400</v>
      </c>
      <c r="W16" s="5">
        <v>0</v>
      </c>
      <c r="X16" s="2">
        <v>25000.000000000004</v>
      </c>
      <c r="Y16" s="2">
        <v>0</v>
      </c>
      <c r="Z16" s="2">
        <v>25000.000000000004</v>
      </c>
      <c r="AA16" s="2">
        <v>29000.000000000004</v>
      </c>
      <c r="AB16" s="5">
        <v>0</v>
      </c>
      <c r="AC16" s="2">
        <v>20207999.999999996</v>
      </c>
      <c r="AD16" s="4">
        <v>1612.22</v>
      </c>
      <c r="AE16" s="2">
        <v>600</v>
      </c>
      <c r="AF16" s="5">
        <v>0</v>
      </c>
      <c r="AG16" s="2">
        <v>12900</v>
      </c>
      <c r="AH16" s="2">
        <v>0</v>
      </c>
      <c r="AI16" s="2">
        <v>12900</v>
      </c>
      <c r="AJ16" s="2">
        <v>26000</v>
      </c>
      <c r="AK16" s="5">
        <v>0</v>
      </c>
      <c r="AL16" s="2">
        <v>1670000</v>
      </c>
      <c r="AM16" s="4">
        <v>1420.68</v>
      </c>
      <c r="AN16" s="2">
        <v>800</v>
      </c>
      <c r="AO16" s="5">
        <v>0</v>
      </c>
      <c r="AP16" s="2">
        <v>26200.000000000004</v>
      </c>
      <c r="AQ16" s="2">
        <v>0</v>
      </c>
      <c r="AR16" s="2">
        <v>26200.000000000004</v>
      </c>
      <c r="AS16" s="2">
        <v>19000</v>
      </c>
      <c r="AT16" s="5">
        <v>0</v>
      </c>
      <c r="AU16" s="2">
        <v>3614999.9999999995</v>
      </c>
      <c r="AV16" s="4">
        <v>1357.28</v>
      </c>
      <c r="AW16" s="2">
        <v>100</v>
      </c>
      <c r="AX16" s="5">
        <v>0.2</v>
      </c>
      <c r="AY16" s="2">
        <v>30000.000000000004</v>
      </c>
      <c r="AZ16" s="2">
        <v>0</v>
      </c>
      <c r="BA16" s="2">
        <v>30000.000000000004</v>
      </c>
      <c r="BB16" s="2">
        <v>29000.000000000004</v>
      </c>
      <c r="BC16" s="5">
        <v>0</v>
      </c>
      <c r="BD16" s="2">
        <v>348000</v>
      </c>
      <c r="BE16" s="4">
        <v>1206.83</v>
      </c>
    </row>
    <row r="17" spans="1:57" x14ac:dyDescent="0.2">
      <c r="A17" s="1">
        <v>10</v>
      </c>
      <c r="B17" s="3">
        <v>44052</v>
      </c>
      <c r="C17" s="2">
        <v>2400</v>
      </c>
      <c r="D17" s="5">
        <v>0.4</v>
      </c>
      <c r="E17" s="2">
        <v>8700.0000000000018</v>
      </c>
      <c r="F17" s="2">
        <v>0</v>
      </c>
      <c r="G17" s="2">
        <v>8700.0000000000018</v>
      </c>
      <c r="H17" s="2">
        <v>7000.0000000000009</v>
      </c>
      <c r="I17" s="5">
        <v>0</v>
      </c>
      <c r="J17" s="2">
        <v>16056999.999999998</v>
      </c>
      <c r="K17" s="4">
        <v>2239.83</v>
      </c>
      <c r="L17" s="2">
        <v>2500.0000000000005</v>
      </c>
      <c r="M17" s="5">
        <v>0</v>
      </c>
      <c r="N17" s="2">
        <v>26500</v>
      </c>
      <c r="O17" s="2">
        <v>0</v>
      </c>
      <c r="P17" s="2">
        <v>0</v>
      </c>
      <c r="Q17" s="2">
        <v>26500</v>
      </c>
      <c r="R17" s="2">
        <v>15000.000000000002</v>
      </c>
      <c r="S17" s="5">
        <v>0</v>
      </c>
      <c r="T17" s="2">
        <v>19400000</v>
      </c>
      <c r="U17" s="4">
        <v>1842.7099999999998</v>
      </c>
      <c r="V17" s="2">
        <v>2400</v>
      </c>
      <c r="W17" s="5">
        <v>0</v>
      </c>
      <c r="X17" s="2">
        <v>24000</v>
      </c>
      <c r="Y17" s="2">
        <v>0</v>
      </c>
      <c r="Z17" s="2">
        <v>24000</v>
      </c>
      <c r="AA17" s="2">
        <v>29000.000000000004</v>
      </c>
      <c r="AB17" s="5">
        <v>0</v>
      </c>
      <c r="AC17" s="2">
        <v>20213000</v>
      </c>
      <c r="AD17" s="4">
        <v>1612.5599999999997</v>
      </c>
      <c r="AE17" s="2">
        <v>600</v>
      </c>
      <c r="AF17" s="5">
        <v>0</v>
      </c>
      <c r="AG17" s="2">
        <v>11900</v>
      </c>
      <c r="AH17" s="2">
        <v>0</v>
      </c>
      <c r="AI17" s="2">
        <v>11900</v>
      </c>
      <c r="AJ17" s="2">
        <v>26000</v>
      </c>
      <c r="AK17" s="5">
        <v>0.55000000000000004</v>
      </c>
      <c r="AL17" s="2">
        <v>1697000</v>
      </c>
      <c r="AM17" s="4">
        <v>1421.1099999999997</v>
      </c>
      <c r="AN17" s="2">
        <v>800</v>
      </c>
      <c r="AO17" s="5">
        <v>0</v>
      </c>
      <c r="AP17" s="2">
        <v>26200.000000000004</v>
      </c>
      <c r="AQ17" s="2">
        <v>0</v>
      </c>
      <c r="AR17" s="2">
        <v>26200.000000000004</v>
      </c>
      <c r="AS17" s="2">
        <v>16000.000000000002</v>
      </c>
      <c r="AT17" s="5">
        <v>0.44999999999999996</v>
      </c>
      <c r="AU17" s="2">
        <v>3592999.9999999995</v>
      </c>
      <c r="AV17" s="4">
        <v>1357.33</v>
      </c>
      <c r="AW17" s="2">
        <v>100</v>
      </c>
      <c r="AX17" s="5">
        <v>0.2</v>
      </c>
      <c r="AY17" s="2">
        <v>30000.000000000004</v>
      </c>
      <c r="AZ17" s="2">
        <v>0</v>
      </c>
      <c r="BA17" s="2">
        <v>30000.000000000004</v>
      </c>
      <c r="BB17" s="2">
        <v>31000</v>
      </c>
      <c r="BC17" s="5">
        <v>0</v>
      </c>
      <c r="BD17" s="2">
        <v>349999.99999999994</v>
      </c>
      <c r="BE17" s="4">
        <v>1206.96</v>
      </c>
    </row>
    <row r="18" spans="1:57" x14ac:dyDescent="0.2">
      <c r="A18" s="1">
        <v>11</v>
      </c>
      <c r="B18" s="3">
        <v>44053</v>
      </c>
      <c r="C18" s="2">
        <v>1200</v>
      </c>
      <c r="D18" s="5">
        <v>0.2</v>
      </c>
      <c r="E18" s="2">
        <v>8700.0000000000018</v>
      </c>
      <c r="F18" s="2">
        <v>0</v>
      </c>
      <c r="G18" s="2">
        <v>8700.0000000000018</v>
      </c>
      <c r="H18" s="2">
        <v>7000.0000000000009</v>
      </c>
      <c r="I18" s="5">
        <v>0</v>
      </c>
      <c r="J18" s="2">
        <v>16050999.999999998</v>
      </c>
      <c r="K18" s="4">
        <v>2239.7600000000002</v>
      </c>
      <c r="L18" s="2">
        <v>2500.0000000000005</v>
      </c>
      <c r="M18" s="5">
        <v>0</v>
      </c>
      <c r="N18" s="2">
        <v>27100.000000000004</v>
      </c>
      <c r="O18" s="2">
        <v>0</v>
      </c>
      <c r="P18" s="2">
        <v>0</v>
      </c>
      <c r="Q18" s="2">
        <v>27100.000000000004</v>
      </c>
      <c r="R18" s="2">
        <v>15000.000000000002</v>
      </c>
      <c r="S18" s="5">
        <v>0</v>
      </c>
      <c r="T18" s="2">
        <v>19370999.999999996</v>
      </c>
      <c r="U18" s="4">
        <v>1842.5799999999997</v>
      </c>
      <c r="V18" s="2">
        <v>2400</v>
      </c>
      <c r="W18" s="5">
        <v>0</v>
      </c>
      <c r="X18" s="2">
        <v>25300</v>
      </c>
      <c r="Y18" s="2">
        <v>0</v>
      </c>
      <c r="Z18" s="2">
        <v>25300</v>
      </c>
      <c r="AA18" s="2">
        <v>29000.000000000004</v>
      </c>
      <c r="AB18" s="5">
        <v>0</v>
      </c>
      <c r="AC18" s="2">
        <v>20216000</v>
      </c>
      <c r="AD18" s="4">
        <v>1612.1799999999998</v>
      </c>
      <c r="AE18" s="2">
        <v>600</v>
      </c>
      <c r="AF18" s="5">
        <v>0</v>
      </c>
      <c r="AG18" s="2">
        <v>27600</v>
      </c>
      <c r="AH18" s="2">
        <v>0</v>
      </c>
      <c r="AI18" s="2">
        <v>27600</v>
      </c>
      <c r="AJ18" s="2">
        <v>25000.000000000004</v>
      </c>
      <c r="AK18" s="5">
        <v>0.04</v>
      </c>
      <c r="AL18" s="2">
        <v>1690999.9999999998</v>
      </c>
      <c r="AM18" s="4">
        <v>1421</v>
      </c>
      <c r="AN18" s="2">
        <v>800</v>
      </c>
      <c r="AO18" s="5">
        <v>0</v>
      </c>
      <c r="AP18" s="2">
        <v>26200.000000000004</v>
      </c>
      <c r="AQ18" s="2">
        <v>0</v>
      </c>
      <c r="AR18" s="2">
        <v>26200.000000000004</v>
      </c>
      <c r="AS18" s="2">
        <v>25000.000000000004</v>
      </c>
      <c r="AT18" s="5">
        <v>0.24999999999999997</v>
      </c>
      <c r="AU18" s="2">
        <v>3588999.9999999995</v>
      </c>
      <c r="AV18" s="4">
        <v>1357.11</v>
      </c>
      <c r="AW18" s="2">
        <v>300</v>
      </c>
      <c r="AX18" s="5">
        <v>0.49999999999999994</v>
      </c>
      <c r="AY18" s="2">
        <v>22800</v>
      </c>
      <c r="AZ18" s="2">
        <v>7200.0000000000009</v>
      </c>
      <c r="BA18" s="2">
        <v>30000.000000000004</v>
      </c>
      <c r="BB18" s="2">
        <v>30000.000000000004</v>
      </c>
      <c r="BC18" s="5">
        <v>0</v>
      </c>
      <c r="BD18" s="2">
        <v>349000</v>
      </c>
      <c r="BE18" s="4">
        <v>1206.99</v>
      </c>
    </row>
    <row r="19" spans="1:57" x14ac:dyDescent="0.2">
      <c r="A19" s="1">
        <v>12</v>
      </c>
      <c r="B19" s="3">
        <v>44054</v>
      </c>
      <c r="C19" s="2">
        <v>1800.0000000000002</v>
      </c>
      <c r="D19" s="5">
        <v>0.3</v>
      </c>
      <c r="E19" s="2">
        <v>8800.0000000000018</v>
      </c>
      <c r="F19" s="2">
        <v>0</v>
      </c>
      <c r="G19" s="2">
        <v>8800.0000000000018</v>
      </c>
      <c r="H19" s="2">
        <v>7000.0000000000009</v>
      </c>
      <c r="I19" s="5">
        <v>0</v>
      </c>
      <c r="J19" s="2">
        <v>16044000</v>
      </c>
      <c r="K19" s="4">
        <v>2239.7399999999998</v>
      </c>
      <c r="L19" s="2">
        <v>2400</v>
      </c>
      <c r="M19" s="5">
        <v>0</v>
      </c>
      <c r="N19" s="2">
        <v>26400.000000000004</v>
      </c>
      <c r="O19" s="2">
        <v>0</v>
      </c>
      <c r="P19" s="2">
        <v>0</v>
      </c>
      <c r="Q19" s="2">
        <v>26400.000000000004</v>
      </c>
      <c r="R19" s="2">
        <v>15000.000000000002</v>
      </c>
      <c r="S19" s="5">
        <v>0</v>
      </c>
      <c r="T19" s="2">
        <v>19344000</v>
      </c>
      <c r="U19" s="4">
        <v>1841.8699999999997</v>
      </c>
      <c r="V19" s="2">
        <v>2400</v>
      </c>
      <c r="W19" s="5">
        <v>0</v>
      </c>
      <c r="X19" s="2">
        <v>25500.000000000004</v>
      </c>
      <c r="Y19" s="2">
        <v>0</v>
      </c>
      <c r="Z19" s="2">
        <v>25500.000000000004</v>
      </c>
      <c r="AA19" s="2">
        <v>29000.000000000004</v>
      </c>
      <c r="AB19" s="5">
        <v>0</v>
      </c>
      <c r="AC19" s="2">
        <v>20218000</v>
      </c>
      <c r="AD19" s="4">
        <v>1612.3299999999997</v>
      </c>
      <c r="AE19" s="2">
        <v>600</v>
      </c>
      <c r="AF19" s="5">
        <v>0</v>
      </c>
      <c r="AG19" s="2">
        <v>27500.000000000004</v>
      </c>
      <c r="AH19" s="2">
        <v>0</v>
      </c>
      <c r="AI19" s="2">
        <v>27500.000000000004</v>
      </c>
      <c r="AJ19" s="2">
        <v>26000</v>
      </c>
      <c r="AK19" s="5">
        <v>0</v>
      </c>
      <c r="AL19" s="2">
        <v>1686999.9999999998</v>
      </c>
      <c r="AM19" s="4">
        <v>1420.8</v>
      </c>
      <c r="AN19" s="2">
        <v>800</v>
      </c>
      <c r="AO19" s="5">
        <v>0</v>
      </c>
      <c r="AP19" s="2">
        <v>26400.000000000004</v>
      </c>
      <c r="AQ19" s="2">
        <v>0</v>
      </c>
      <c r="AR19" s="2">
        <v>26400.000000000004</v>
      </c>
      <c r="AS19" s="2">
        <v>27000.000000000004</v>
      </c>
      <c r="AT19" s="5">
        <v>0</v>
      </c>
      <c r="AU19" s="2">
        <v>3588999.9999999995</v>
      </c>
      <c r="AV19" s="4">
        <v>1356.9199999999998</v>
      </c>
      <c r="AW19" s="2">
        <v>100</v>
      </c>
      <c r="AX19" s="5">
        <v>0.2</v>
      </c>
      <c r="AY19" s="2">
        <v>20100</v>
      </c>
      <c r="AZ19" s="2">
        <v>10000.000000000002</v>
      </c>
      <c r="BA19" s="2">
        <v>30100</v>
      </c>
      <c r="BB19" s="2">
        <v>30000.000000000004</v>
      </c>
      <c r="BC19" s="5">
        <v>0</v>
      </c>
      <c r="BD19" s="2">
        <v>349000</v>
      </c>
      <c r="BE19" s="4">
        <v>1206.9000000000001</v>
      </c>
    </row>
    <row r="20" spans="1:57" x14ac:dyDescent="0.2">
      <c r="A20" s="1">
        <v>13</v>
      </c>
      <c r="B20" s="3">
        <v>44055</v>
      </c>
      <c r="C20" s="2">
        <v>3000</v>
      </c>
      <c r="D20" s="5">
        <v>0.4</v>
      </c>
      <c r="E20" s="2">
        <v>8700.0000000000018</v>
      </c>
      <c r="F20" s="2">
        <v>0</v>
      </c>
      <c r="G20" s="2">
        <v>8700.0000000000018</v>
      </c>
      <c r="H20" s="2">
        <v>7000.0000000000009</v>
      </c>
      <c r="I20" s="5">
        <v>0</v>
      </c>
      <c r="J20" s="2">
        <v>16034999.999999998</v>
      </c>
      <c r="K20" s="4">
        <v>2239.71</v>
      </c>
      <c r="L20" s="2">
        <v>2500.0000000000005</v>
      </c>
      <c r="M20" s="5">
        <v>0</v>
      </c>
      <c r="N20" s="2">
        <v>27100.000000000004</v>
      </c>
      <c r="O20" s="2">
        <v>0</v>
      </c>
      <c r="P20" s="2">
        <v>0</v>
      </c>
      <c r="Q20" s="2">
        <v>27100.000000000004</v>
      </c>
      <c r="R20" s="2">
        <v>15000.000000000002</v>
      </c>
      <c r="S20" s="5">
        <v>0</v>
      </c>
      <c r="T20" s="2">
        <v>19314999.999999996</v>
      </c>
      <c r="U20" s="4">
        <v>1842.3199999999997</v>
      </c>
      <c r="V20" s="2">
        <v>2400</v>
      </c>
      <c r="W20" s="5">
        <v>0</v>
      </c>
      <c r="X20" s="2">
        <v>25400.000000000004</v>
      </c>
      <c r="Y20" s="2">
        <v>0</v>
      </c>
      <c r="Z20" s="2">
        <v>25400.000000000004</v>
      </c>
      <c r="AA20" s="2">
        <v>28000.000000000004</v>
      </c>
      <c r="AB20" s="5">
        <v>0</v>
      </c>
      <c r="AC20" s="2">
        <v>20218000</v>
      </c>
      <c r="AD20" s="4">
        <v>1612.34</v>
      </c>
      <c r="AE20" s="2">
        <v>600</v>
      </c>
      <c r="AF20" s="5">
        <v>0</v>
      </c>
      <c r="AG20" s="2">
        <v>27700.000000000004</v>
      </c>
      <c r="AH20" s="2">
        <v>0</v>
      </c>
      <c r="AI20" s="2">
        <v>27700.000000000004</v>
      </c>
      <c r="AJ20" s="2">
        <v>26000</v>
      </c>
      <c r="AK20" s="5">
        <v>0</v>
      </c>
      <c r="AL20" s="2">
        <v>1682000</v>
      </c>
      <c r="AM20" s="4">
        <v>1420.77</v>
      </c>
      <c r="AN20" s="2">
        <v>800</v>
      </c>
      <c r="AO20" s="5">
        <v>0</v>
      </c>
      <c r="AP20" s="2">
        <v>26200.000000000004</v>
      </c>
      <c r="AQ20" s="2">
        <v>0</v>
      </c>
      <c r="AR20" s="2">
        <v>26200.000000000004</v>
      </c>
      <c r="AS20" s="2">
        <v>27000.000000000004</v>
      </c>
      <c r="AT20" s="5">
        <v>0</v>
      </c>
      <c r="AU20" s="2">
        <v>3588999.9999999995</v>
      </c>
      <c r="AV20" s="4">
        <v>1357.08</v>
      </c>
      <c r="AW20" s="2">
        <v>100</v>
      </c>
      <c r="AX20" s="5">
        <v>0.2</v>
      </c>
      <c r="AY20" s="2">
        <v>23100</v>
      </c>
      <c r="AZ20" s="2">
        <v>7000.0000000000009</v>
      </c>
      <c r="BA20" s="2">
        <v>30100</v>
      </c>
      <c r="BB20" s="2">
        <v>29000.000000000004</v>
      </c>
      <c r="BC20" s="5">
        <v>0</v>
      </c>
      <c r="BD20" s="2">
        <v>346999.99999999994</v>
      </c>
      <c r="BE20" s="4">
        <v>1206.8699999999999</v>
      </c>
    </row>
    <row r="21" spans="1:57" x14ac:dyDescent="0.2">
      <c r="A21" s="1">
        <v>14</v>
      </c>
      <c r="B21" s="3">
        <v>44056</v>
      </c>
      <c r="C21" s="2">
        <v>3000</v>
      </c>
      <c r="D21" s="5">
        <v>0.4</v>
      </c>
      <c r="E21" s="2">
        <v>9500</v>
      </c>
      <c r="F21" s="2">
        <v>0</v>
      </c>
      <c r="G21" s="2">
        <v>9500</v>
      </c>
      <c r="H21" s="2">
        <v>7000.0000000000009</v>
      </c>
      <c r="I21" s="5">
        <v>0</v>
      </c>
      <c r="J21" s="2">
        <v>16023999.999999998</v>
      </c>
      <c r="K21" s="4">
        <v>2239.66</v>
      </c>
      <c r="L21" s="2">
        <v>2500.0000000000005</v>
      </c>
      <c r="M21" s="5">
        <v>0</v>
      </c>
      <c r="N21" s="2">
        <v>27400</v>
      </c>
      <c r="O21" s="2">
        <v>0</v>
      </c>
      <c r="P21" s="2">
        <v>400.00000011300699</v>
      </c>
      <c r="Q21" s="2">
        <v>27400</v>
      </c>
      <c r="R21" s="2">
        <v>15000.000000000002</v>
      </c>
      <c r="S21" s="5">
        <v>0</v>
      </c>
      <c r="T21" s="2">
        <v>19285000</v>
      </c>
      <c r="U21" s="4">
        <v>1842.3499999999997</v>
      </c>
      <c r="V21" s="2">
        <v>2400</v>
      </c>
      <c r="W21" s="5">
        <v>0</v>
      </c>
      <c r="X21" s="2">
        <v>25300</v>
      </c>
      <c r="Y21" s="2">
        <v>0</v>
      </c>
      <c r="Z21" s="2">
        <v>25300</v>
      </c>
      <c r="AA21" s="2">
        <v>28000.000000000004</v>
      </c>
      <c r="AB21" s="5">
        <v>0</v>
      </c>
      <c r="AC21" s="2">
        <v>20219000</v>
      </c>
      <c r="AD21" s="4">
        <v>1612.35</v>
      </c>
      <c r="AE21" s="2">
        <v>600</v>
      </c>
      <c r="AF21" s="5">
        <v>0</v>
      </c>
      <c r="AG21" s="2">
        <v>28000.000000000004</v>
      </c>
      <c r="AH21" s="2">
        <v>0</v>
      </c>
      <c r="AI21" s="2">
        <v>28000.000000000004</v>
      </c>
      <c r="AJ21" s="2">
        <v>26000</v>
      </c>
      <c r="AK21" s="5">
        <v>0</v>
      </c>
      <c r="AL21" s="2">
        <v>1676999.9999999998</v>
      </c>
      <c r="AM21" s="4">
        <v>1420.67</v>
      </c>
      <c r="AN21" s="2">
        <v>800</v>
      </c>
      <c r="AO21" s="5">
        <v>0</v>
      </c>
      <c r="AP21" s="2">
        <v>26200.000000000004</v>
      </c>
      <c r="AQ21" s="2">
        <v>0</v>
      </c>
      <c r="AR21" s="2">
        <v>26200.000000000004</v>
      </c>
      <c r="AS21" s="2">
        <v>29000.000000000004</v>
      </c>
      <c r="AT21" s="5">
        <v>0</v>
      </c>
      <c r="AU21" s="2">
        <v>3592999.9999999995</v>
      </c>
      <c r="AV21" s="4">
        <v>1357.14</v>
      </c>
      <c r="AW21" s="2">
        <v>100</v>
      </c>
      <c r="AX21" s="5">
        <v>0.2</v>
      </c>
      <c r="AY21" s="2">
        <v>29400</v>
      </c>
      <c r="AZ21" s="2">
        <v>600</v>
      </c>
      <c r="BA21" s="2">
        <v>30000.000000000004</v>
      </c>
      <c r="BB21" s="2">
        <v>29000.000000000004</v>
      </c>
      <c r="BC21" s="5">
        <v>0</v>
      </c>
      <c r="BD21" s="2">
        <v>345000</v>
      </c>
      <c r="BE21" s="4">
        <v>1206.7899999999997</v>
      </c>
    </row>
    <row r="22" spans="1:57" x14ac:dyDescent="0.2">
      <c r="A22" s="1">
        <v>15</v>
      </c>
      <c r="B22" s="3">
        <v>44057</v>
      </c>
      <c r="C22" s="2">
        <v>3000</v>
      </c>
      <c r="D22" s="5">
        <v>0.4</v>
      </c>
      <c r="E22" s="2">
        <v>10900.000000000002</v>
      </c>
      <c r="F22" s="2">
        <v>0</v>
      </c>
      <c r="G22" s="2">
        <v>10900.000000000002</v>
      </c>
      <c r="H22" s="2">
        <v>6000</v>
      </c>
      <c r="I22" s="5">
        <v>0</v>
      </c>
      <c r="J22" s="2">
        <v>16008000</v>
      </c>
      <c r="K22" s="4">
        <v>2239.58</v>
      </c>
      <c r="L22" s="2">
        <v>2500.0000000000005</v>
      </c>
      <c r="M22" s="5">
        <v>0</v>
      </c>
      <c r="N22" s="2">
        <v>26700</v>
      </c>
      <c r="O22" s="2">
        <v>0</v>
      </c>
      <c r="P22" s="2">
        <v>0</v>
      </c>
      <c r="Q22" s="2">
        <v>26700</v>
      </c>
      <c r="R22" s="2">
        <v>15000.000000000002</v>
      </c>
      <c r="S22" s="5">
        <v>0</v>
      </c>
      <c r="T22" s="2">
        <v>19257000</v>
      </c>
      <c r="U22" s="4">
        <v>1842.2899999999997</v>
      </c>
      <c r="V22" s="2">
        <v>2400</v>
      </c>
      <c r="W22" s="5">
        <v>0</v>
      </c>
      <c r="X22" s="2">
        <v>25400.000000000004</v>
      </c>
      <c r="Y22" s="2">
        <v>0</v>
      </c>
      <c r="Z22" s="2">
        <v>25400.000000000004</v>
      </c>
      <c r="AA22" s="2">
        <v>28000.000000000004</v>
      </c>
      <c r="AB22" s="5">
        <v>0</v>
      </c>
      <c r="AC22" s="2">
        <v>20219000</v>
      </c>
      <c r="AD22" s="4">
        <v>1612.1399999999999</v>
      </c>
      <c r="AE22" s="2">
        <v>600</v>
      </c>
      <c r="AF22" s="5">
        <v>0</v>
      </c>
      <c r="AG22" s="2">
        <v>27900.000000000004</v>
      </c>
      <c r="AH22" s="2">
        <v>0</v>
      </c>
      <c r="AI22" s="2">
        <v>27900.000000000004</v>
      </c>
      <c r="AJ22" s="2">
        <v>25000.000000000004</v>
      </c>
      <c r="AK22" s="5">
        <v>0</v>
      </c>
      <c r="AL22" s="2">
        <v>1670000</v>
      </c>
      <c r="AM22" s="4">
        <v>1420.59</v>
      </c>
      <c r="AN22" s="2">
        <v>800</v>
      </c>
      <c r="AO22" s="5">
        <v>0</v>
      </c>
      <c r="AP22" s="2">
        <v>26100.000000000004</v>
      </c>
      <c r="AQ22" s="2">
        <v>0</v>
      </c>
      <c r="AR22" s="2">
        <v>26100.000000000004</v>
      </c>
      <c r="AS22" s="2">
        <v>31000</v>
      </c>
      <c r="AT22" s="5">
        <v>0.28000000000000003</v>
      </c>
      <c r="AU22" s="2">
        <v>3600999.9999999995</v>
      </c>
      <c r="AV22" s="4">
        <v>1357.3</v>
      </c>
      <c r="AW22" s="2">
        <v>100</v>
      </c>
      <c r="AX22" s="5">
        <v>0.2</v>
      </c>
      <c r="AY22" s="2">
        <v>30000.000000000004</v>
      </c>
      <c r="AZ22" s="2">
        <v>0</v>
      </c>
      <c r="BA22" s="2">
        <v>30000.000000000004</v>
      </c>
      <c r="BB22" s="2">
        <v>29000.000000000004</v>
      </c>
      <c r="BC22" s="5">
        <v>0</v>
      </c>
      <c r="BD22" s="2">
        <v>343000</v>
      </c>
      <c r="BE22" s="4">
        <v>1206.75</v>
      </c>
    </row>
    <row r="23" spans="1:57" x14ac:dyDescent="0.2">
      <c r="A23" s="1">
        <v>16</v>
      </c>
      <c r="B23" s="3">
        <v>44058</v>
      </c>
      <c r="C23" s="2">
        <v>3000</v>
      </c>
      <c r="D23" s="5">
        <v>0.4</v>
      </c>
      <c r="E23" s="2">
        <v>11300</v>
      </c>
      <c r="F23" s="2">
        <v>0</v>
      </c>
      <c r="G23" s="2">
        <v>11300</v>
      </c>
      <c r="H23" s="2">
        <v>6000</v>
      </c>
      <c r="I23" s="5">
        <v>0</v>
      </c>
      <c r="J23" s="2">
        <v>15992000</v>
      </c>
      <c r="K23" s="4">
        <v>2239.5099999999998</v>
      </c>
      <c r="L23" s="2">
        <v>2500.0000000000005</v>
      </c>
      <c r="M23" s="5">
        <v>0</v>
      </c>
      <c r="N23" s="2">
        <v>26700</v>
      </c>
      <c r="O23" s="2">
        <v>0</v>
      </c>
      <c r="P23" s="2">
        <v>0</v>
      </c>
      <c r="Q23" s="2">
        <v>26700</v>
      </c>
      <c r="R23" s="2">
        <v>15000.000000000002</v>
      </c>
      <c r="S23" s="5">
        <v>0</v>
      </c>
      <c r="T23" s="2">
        <v>19228999.999999996</v>
      </c>
      <c r="U23" s="4">
        <v>1842.2599999999998</v>
      </c>
      <c r="V23" s="2">
        <v>2400</v>
      </c>
      <c r="W23" s="5">
        <v>0</v>
      </c>
      <c r="X23" s="2">
        <v>22100.000000000004</v>
      </c>
      <c r="Y23" s="2">
        <v>0</v>
      </c>
      <c r="Z23" s="2">
        <v>22100.000000000004</v>
      </c>
      <c r="AA23" s="2">
        <v>28000.000000000004</v>
      </c>
      <c r="AB23" s="5">
        <v>0</v>
      </c>
      <c r="AC23" s="2">
        <v>20225999.999999996</v>
      </c>
      <c r="AD23" s="4">
        <v>1612.4099999999999</v>
      </c>
      <c r="AE23" s="2">
        <v>600</v>
      </c>
      <c r="AF23" s="5">
        <v>0</v>
      </c>
      <c r="AG23" s="2">
        <v>16300</v>
      </c>
      <c r="AH23" s="2">
        <v>0</v>
      </c>
      <c r="AI23" s="2">
        <v>16300</v>
      </c>
      <c r="AJ23" s="2">
        <v>19000</v>
      </c>
      <c r="AK23" s="5">
        <v>0</v>
      </c>
      <c r="AL23" s="2">
        <v>1674000</v>
      </c>
      <c r="AM23" s="4">
        <v>1420.73</v>
      </c>
      <c r="AN23" s="2">
        <v>800</v>
      </c>
      <c r="AO23" s="5">
        <v>0</v>
      </c>
      <c r="AP23" s="2">
        <v>27000.000000000004</v>
      </c>
      <c r="AQ23" s="2">
        <v>0</v>
      </c>
      <c r="AR23" s="2">
        <v>27000.000000000004</v>
      </c>
      <c r="AS23" s="2">
        <v>21000</v>
      </c>
      <c r="AT23" s="5">
        <v>0</v>
      </c>
      <c r="AU23" s="2">
        <v>3587999.9999999995</v>
      </c>
      <c r="AV23" s="4">
        <v>1357.0999999999997</v>
      </c>
      <c r="AW23" s="2">
        <v>100</v>
      </c>
      <c r="AX23" s="5">
        <v>0.2</v>
      </c>
      <c r="AY23" s="2">
        <v>30100</v>
      </c>
      <c r="AZ23" s="2">
        <v>0</v>
      </c>
      <c r="BA23" s="2">
        <v>30100</v>
      </c>
      <c r="BB23" s="2">
        <v>29000.000000000004</v>
      </c>
      <c r="BC23" s="5">
        <v>0</v>
      </c>
      <c r="BD23" s="2">
        <v>340999.99999999994</v>
      </c>
      <c r="BE23" s="4">
        <v>1206.6399999999999</v>
      </c>
    </row>
    <row r="24" spans="1:57" x14ac:dyDescent="0.2">
      <c r="A24" s="1">
        <v>17</v>
      </c>
      <c r="B24" s="3">
        <v>44059</v>
      </c>
      <c r="C24" s="2">
        <v>1800.0000000000002</v>
      </c>
      <c r="D24" s="5">
        <v>0.3</v>
      </c>
      <c r="E24" s="2">
        <v>10800.000000000002</v>
      </c>
      <c r="F24" s="2">
        <v>0</v>
      </c>
      <c r="G24" s="2">
        <v>10800.000000000002</v>
      </c>
      <c r="H24" s="2">
        <v>6000</v>
      </c>
      <c r="I24" s="5">
        <v>0</v>
      </c>
      <c r="J24" s="2">
        <v>15979000</v>
      </c>
      <c r="K24" s="4">
        <v>2239.46</v>
      </c>
      <c r="L24" s="2">
        <v>2400</v>
      </c>
      <c r="M24" s="5">
        <v>0</v>
      </c>
      <c r="N24" s="2">
        <v>25900.000000000004</v>
      </c>
      <c r="O24" s="2">
        <v>0</v>
      </c>
      <c r="P24" s="2">
        <v>0</v>
      </c>
      <c r="Q24" s="2">
        <v>25900.000000000004</v>
      </c>
      <c r="R24" s="2">
        <v>14000.000000000002</v>
      </c>
      <c r="S24" s="5">
        <v>0</v>
      </c>
      <c r="T24" s="2">
        <v>19201000</v>
      </c>
      <c r="U24" s="4">
        <v>1842.05</v>
      </c>
      <c r="V24" s="2">
        <v>2400</v>
      </c>
      <c r="W24" s="5">
        <v>0</v>
      </c>
      <c r="X24" s="2">
        <v>20100</v>
      </c>
      <c r="Y24" s="2">
        <v>0</v>
      </c>
      <c r="Z24" s="2">
        <v>20100</v>
      </c>
      <c r="AA24" s="2">
        <v>28000.000000000004</v>
      </c>
      <c r="AB24" s="5">
        <v>0</v>
      </c>
      <c r="AC24" s="2">
        <v>20237000</v>
      </c>
      <c r="AD24" s="4">
        <v>1612.39</v>
      </c>
      <c r="AE24" s="2">
        <v>600</v>
      </c>
      <c r="AF24" s="5">
        <v>0</v>
      </c>
      <c r="AG24" s="2">
        <v>14200.000000000002</v>
      </c>
      <c r="AH24" s="2">
        <v>0</v>
      </c>
      <c r="AI24" s="2">
        <v>14200.000000000002</v>
      </c>
      <c r="AJ24" s="2">
        <v>21000</v>
      </c>
      <c r="AK24" s="5">
        <v>0</v>
      </c>
      <c r="AL24" s="2">
        <v>1685999.9999999998</v>
      </c>
      <c r="AM24" s="4">
        <v>1420.94</v>
      </c>
      <c r="AN24" s="2">
        <v>800</v>
      </c>
      <c r="AO24" s="5">
        <v>0</v>
      </c>
      <c r="AP24" s="2">
        <v>27300.000000000004</v>
      </c>
      <c r="AQ24" s="2">
        <v>0</v>
      </c>
      <c r="AR24" s="2">
        <v>27300.000000000004</v>
      </c>
      <c r="AS24" s="2">
        <v>16000.000000000002</v>
      </c>
      <c r="AT24" s="5">
        <v>0</v>
      </c>
      <c r="AU24" s="2">
        <v>3564000</v>
      </c>
      <c r="AV24" s="4">
        <v>1356.82</v>
      </c>
      <c r="AW24" s="2">
        <v>100</v>
      </c>
      <c r="AX24" s="5">
        <v>0.2</v>
      </c>
      <c r="AY24" s="2">
        <v>30000.000000000004</v>
      </c>
      <c r="AZ24" s="2">
        <v>0</v>
      </c>
      <c r="BA24" s="2">
        <v>30000.000000000004</v>
      </c>
      <c r="BB24" s="2">
        <v>30000.000000000004</v>
      </c>
      <c r="BC24" s="5">
        <v>0</v>
      </c>
      <c r="BD24" s="2">
        <v>340999.99999999994</v>
      </c>
      <c r="BE24" s="4">
        <v>1206.6199999999997</v>
      </c>
    </row>
    <row r="25" spans="1:57" x14ac:dyDescent="0.2">
      <c r="A25" s="1">
        <v>18</v>
      </c>
      <c r="B25" s="3">
        <v>44060</v>
      </c>
      <c r="C25" s="2">
        <v>1800.0000000000002</v>
      </c>
      <c r="D25" s="5">
        <v>0.3</v>
      </c>
      <c r="E25" s="2">
        <v>11300</v>
      </c>
      <c r="F25" s="2">
        <v>0</v>
      </c>
      <c r="G25" s="2">
        <v>11300</v>
      </c>
      <c r="H25" s="2">
        <v>6000</v>
      </c>
      <c r="I25" s="5">
        <v>0</v>
      </c>
      <c r="J25" s="2">
        <v>15964999.999999998</v>
      </c>
      <c r="K25" s="4">
        <v>2239.42</v>
      </c>
      <c r="L25" s="2">
        <v>2400</v>
      </c>
      <c r="M25" s="5">
        <v>0</v>
      </c>
      <c r="N25" s="2">
        <v>25800</v>
      </c>
      <c r="O25" s="2">
        <v>0</v>
      </c>
      <c r="P25" s="2">
        <v>0</v>
      </c>
      <c r="Q25" s="2">
        <v>25800</v>
      </c>
      <c r="R25" s="2">
        <v>14000.000000000002</v>
      </c>
      <c r="S25" s="5">
        <v>0</v>
      </c>
      <c r="T25" s="2">
        <v>19172999.999999996</v>
      </c>
      <c r="U25" s="4">
        <v>1841.9399999999998</v>
      </c>
      <c r="V25" s="2">
        <v>2400</v>
      </c>
      <c r="W25" s="5">
        <v>0</v>
      </c>
      <c r="X25" s="2">
        <v>25100</v>
      </c>
      <c r="Y25" s="2">
        <v>0</v>
      </c>
      <c r="Z25" s="2">
        <v>25100</v>
      </c>
      <c r="AA25" s="2">
        <v>27000.000000000004</v>
      </c>
      <c r="AB25" s="5">
        <v>0</v>
      </c>
      <c r="AC25" s="2">
        <v>20236000</v>
      </c>
      <c r="AD25" s="4">
        <v>1612.3599999999997</v>
      </c>
      <c r="AE25" s="2">
        <v>600</v>
      </c>
      <c r="AF25" s="5">
        <v>0</v>
      </c>
      <c r="AG25" s="2">
        <v>28100.000000000004</v>
      </c>
      <c r="AH25" s="2">
        <v>0</v>
      </c>
      <c r="AI25" s="2">
        <v>28100.000000000004</v>
      </c>
      <c r="AJ25" s="2">
        <v>23000.000000000004</v>
      </c>
      <c r="AK25" s="5">
        <v>0</v>
      </c>
      <c r="AL25" s="2">
        <v>1674999.9999999998</v>
      </c>
      <c r="AM25" s="4">
        <v>1420.7</v>
      </c>
      <c r="AN25" s="2">
        <v>800</v>
      </c>
      <c r="AO25" s="5">
        <v>0</v>
      </c>
      <c r="AP25" s="2">
        <v>27400</v>
      </c>
      <c r="AQ25" s="2">
        <v>0</v>
      </c>
      <c r="AR25" s="2">
        <v>27400</v>
      </c>
      <c r="AS25" s="2">
        <v>24000</v>
      </c>
      <c r="AT25" s="5">
        <v>0</v>
      </c>
      <c r="AU25" s="2">
        <v>3556000</v>
      </c>
      <c r="AV25" s="4">
        <v>1356.7</v>
      </c>
      <c r="AW25" s="2">
        <v>100</v>
      </c>
      <c r="AX25" s="5">
        <v>0.2</v>
      </c>
      <c r="AY25" s="2">
        <v>30000.000000000004</v>
      </c>
      <c r="AZ25" s="2">
        <v>0</v>
      </c>
      <c r="BA25" s="2">
        <v>30000.000000000004</v>
      </c>
      <c r="BB25" s="2">
        <v>30000.000000000004</v>
      </c>
      <c r="BC25" s="5">
        <v>0</v>
      </c>
      <c r="BD25" s="2">
        <v>340999.99999999994</v>
      </c>
      <c r="BE25" s="4">
        <v>1206.6199999999997</v>
      </c>
    </row>
    <row r="26" spans="1:57" x14ac:dyDescent="0.2">
      <c r="A26" s="1">
        <v>19</v>
      </c>
      <c r="B26" s="3">
        <v>44061</v>
      </c>
      <c r="C26" s="2">
        <v>1800.0000000000002</v>
      </c>
      <c r="D26" s="5">
        <v>0.3</v>
      </c>
      <c r="E26" s="2">
        <v>11400</v>
      </c>
      <c r="F26" s="2">
        <v>0</v>
      </c>
      <c r="G26" s="2">
        <v>11400</v>
      </c>
      <c r="H26" s="2">
        <v>6000</v>
      </c>
      <c r="I26" s="5">
        <v>0</v>
      </c>
      <c r="J26" s="2">
        <v>15950999.999999998</v>
      </c>
      <c r="K26" s="4">
        <v>2239.4</v>
      </c>
      <c r="L26" s="2">
        <v>2400</v>
      </c>
      <c r="M26" s="5">
        <v>0</v>
      </c>
      <c r="N26" s="2">
        <v>26000</v>
      </c>
      <c r="O26" s="2">
        <v>0</v>
      </c>
      <c r="P26" s="2">
        <v>0</v>
      </c>
      <c r="Q26" s="2">
        <v>26000</v>
      </c>
      <c r="R26" s="2">
        <v>16000.000000000002</v>
      </c>
      <c r="S26" s="5">
        <v>0</v>
      </c>
      <c r="T26" s="2">
        <v>19148000</v>
      </c>
      <c r="U26" s="4">
        <v>1841.96</v>
      </c>
      <c r="V26" s="2">
        <v>2400</v>
      </c>
      <c r="W26" s="5">
        <v>0</v>
      </c>
      <c r="X26" s="2">
        <v>25600</v>
      </c>
      <c r="Y26" s="2">
        <v>0</v>
      </c>
      <c r="Z26" s="2">
        <v>25600</v>
      </c>
      <c r="AA26" s="2">
        <v>27000.000000000004</v>
      </c>
      <c r="AB26" s="5">
        <v>0</v>
      </c>
      <c r="AC26" s="2">
        <v>20234000</v>
      </c>
      <c r="AD26" s="4">
        <v>1612.31</v>
      </c>
      <c r="AE26" s="2">
        <v>600</v>
      </c>
      <c r="AF26" s="5">
        <v>0</v>
      </c>
      <c r="AG26" s="2">
        <v>27800</v>
      </c>
      <c r="AH26" s="2">
        <v>0</v>
      </c>
      <c r="AI26" s="2">
        <v>27800</v>
      </c>
      <c r="AJ26" s="2">
        <v>26000</v>
      </c>
      <c r="AK26" s="5">
        <v>0.02</v>
      </c>
      <c r="AL26" s="2">
        <v>1670000</v>
      </c>
      <c r="AM26" s="4">
        <v>1420.62</v>
      </c>
      <c r="AN26" s="2">
        <v>800</v>
      </c>
      <c r="AO26" s="5">
        <v>0</v>
      </c>
      <c r="AP26" s="2">
        <v>27300.000000000004</v>
      </c>
      <c r="AQ26" s="2">
        <v>0</v>
      </c>
      <c r="AR26" s="2">
        <v>27300.000000000004</v>
      </c>
      <c r="AS26" s="2">
        <v>25000.000000000004</v>
      </c>
      <c r="AT26" s="5">
        <v>0</v>
      </c>
      <c r="AU26" s="2">
        <v>3549999.9999999995</v>
      </c>
      <c r="AV26" s="4">
        <v>1356.63</v>
      </c>
      <c r="AW26" s="2">
        <v>100</v>
      </c>
      <c r="AX26" s="5">
        <v>0.2</v>
      </c>
      <c r="AY26" s="2">
        <v>30000.000000000004</v>
      </c>
      <c r="AZ26" s="2">
        <v>0</v>
      </c>
      <c r="BA26" s="2">
        <v>30000.000000000004</v>
      </c>
      <c r="BB26" s="2">
        <v>30000.000000000004</v>
      </c>
      <c r="BC26" s="5">
        <v>0</v>
      </c>
      <c r="BD26" s="2">
        <v>340999.99999999994</v>
      </c>
      <c r="BE26" s="4">
        <v>1206.57</v>
      </c>
    </row>
    <row r="27" spans="1:57" x14ac:dyDescent="0.2">
      <c r="A27" s="1">
        <v>20</v>
      </c>
      <c r="B27" s="3">
        <v>44062</v>
      </c>
      <c r="C27" s="2">
        <v>1800.0000000000002</v>
      </c>
      <c r="D27" s="5">
        <v>0.3</v>
      </c>
      <c r="E27" s="2">
        <v>9800.0000000000018</v>
      </c>
      <c r="F27" s="2">
        <v>0</v>
      </c>
      <c r="G27" s="2">
        <v>9800.0000000000018</v>
      </c>
      <c r="H27" s="2">
        <v>7000.0000000000009</v>
      </c>
      <c r="I27" s="5">
        <v>0</v>
      </c>
      <c r="J27" s="2">
        <v>15942000</v>
      </c>
      <c r="K27" s="4">
        <v>2239.3200000000002</v>
      </c>
      <c r="L27" s="2">
        <v>2400</v>
      </c>
      <c r="M27" s="5">
        <v>0</v>
      </c>
      <c r="N27" s="2">
        <v>26100.000000000004</v>
      </c>
      <c r="O27" s="2">
        <v>0</v>
      </c>
      <c r="P27" s="2">
        <v>0</v>
      </c>
      <c r="Q27" s="2">
        <v>26100.000000000004</v>
      </c>
      <c r="R27" s="2">
        <v>16000.000000000002</v>
      </c>
      <c r="S27" s="5">
        <v>0</v>
      </c>
      <c r="T27" s="2">
        <v>19122999.999999996</v>
      </c>
      <c r="U27" s="4">
        <v>1841.8699999999997</v>
      </c>
      <c r="V27" s="2">
        <v>2400</v>
      </c>
      <c r="W27" s="5">
        <v>0</v>
      </c>
      <c r="X27" s="2">
        <v>25300</v>
      </c>
      <c r="Y27" s="2">
        <v>0</v>
      </c>
      <c r="Z27" s="2">
        <v>25300</v>
      </c>
      <c r="AA27" s="2">
        <v>27000.000000000004</v>
      </c>
      <c r="AB27" s="5">
        <v>0</v>
      </c>
      <c r="AC27" s="2">
        <v>20233000</v>
      </c>
      <c r="AD27" s="4">
        <v>1612.4</v>
      </c>
      <c r="AE27" s="2">
        <v>600</v>
      </c>
      <c r="AF27" s="5">
        <v>0</v>
      </c>
      <c r="AG27" s="2">
        <v>28100.000000000004</v>
      </c>
      <c r="AH27" s="2">
        <v>0</v>
      </c>
      <c r="AI27" s="2">
        <v>28100.000000000004</v>
      </c>
      <c r="AJ27" s="2">
        <v>26000</v>
      </c>
      <c r="AK27" s="5">
        <v>0</v>
      </c>
      <c r="AL27" s="2">
        <v>1664999.9999999998</v>
      </c>
      <c r="AM27" s="4">
        <v>1420.5499999999997</v>
      </c>
      <c r="AN27" s="2">
        <v>800</v>
      </c>
      <c r="AO27" s="5">
        <v>0</v>
      </c>
      <c r="AP27" s="2">
        <v>27900.000000000004</v>
      </c>
      <c r="AQ27" s="2">
        <v>0</v>
      </c>
      <c r="AR27" s="2">
        <v>27900.000000000004</v>
      </c>
      <c r="AS27" s="2">
        <v>26000</v>
      </c>
      <c r="AT27" s="5">
        <v>0.05</v>
      </c>
      <c r="AU27" s="2">
        <v>3544999.9999999995</v>
      </c>
      <c r="AV27" s="4">
        <v>1356.61</v>
      </c>
      <c r="AW27" s="2">
        <v>100</v>
      </c>
      <c r="AX27" s="5">
        <v>0.2</v>
      </c>
      <c r="AY27" s="2">
        <v>30000.000000000004</v>
      </c>
      <c r="AZ27" s="2">
        <v>0</v>
      </c>
      <c r="BA27" s="2">
        <v>30000.000000000004</v>
      </c>
      <c r="BB27" s="2">
        <v>29000.000000000004</v>
      </c>
      <c r="BC27" s="5">
        <v>0</v>
      </c>
      <c r="BD27" s="2">
        <v>338999.99999999994</v>
      </c>
      <c r="BE27" s="4">
        <v>1206.52</v>
      </c>
    </row>
    <row r="28" spans="1:57" x14ac:dyDescent="0.2">
      <c r="A28" s="1">
        <v>21</v>
      </c>
      <c r="B28" s="3">
        <v>44063</v>
      </c>
      <c r="C28" s="2">
        <v>1800.0000000000002</v>
      </c>
      <c r="D28" s="5">
        <v>0.3</v>
      </c>
      <c r="E28" s="2">
        <v>10200</v>
      </c>
      <c r="F28" s="2">
        <v>0</v>
      </c>
      <c r="G28" s="2">
        <v>10200</v>
      </c>
      <c r="H28" s="2">
        <v>7000.0000000000009</v>
      </c>
      <c r="I28" s="5">
        <v>0</v>
      </c>
      <c r="J28" s="2">
        <v>15931999.999999998</v>
      </c>
      <c r="K28" s="4">
        <v>2239.3299999999995</v>
      </c>
      <c r="L28" s="2">
        <v>2400</v>
      </c>
      <c r="M28" s="5">
        <v>0</v>
      </c>
      <c r="N28" s="2">
        <v>26100.000000000004</v>
      </c>
      <c r="O28" s="2">
        <v>0</v>
      </c>
      <c r="P28" s="2">
        <v>0</v>
      </c>
      <c r="Q28" s="2">
        <v>26100.000000000004</v>
      </c>
      <c r="R28" s="2">
        <v>16000.000000000002</v>
      </c>
      <c r="S28" s="5">
        <v>0</v>
      </c>
      <c r="T28" s="2">
        <v>19098000</v>
      </c>
      <c r="U28" s="4">
        <v>1841.79</v>
      </c>
      <c r="V28" s="2">
        <v>2400</v>
      </c>
      <c r="W28" s="5">
        <v>0</v>
      </c>
      <c r="X28" s="2">
        <v>25100</v>
      </c>
      <c r="Y28" s="2">
        <v>0</v>
      </c>
      <c r="Z28" s="2">
        <v>25100</v>
      </c>
      <c r="AA28" s="2">
        <v>27000.000000000004</v>
      </c>
      <c r="AB28" s="5">
        <v>0</v>
      </c>
      <c r="AC28" s="2">
        <v>20232000</v>
      </c>
      <c r="AD28" s="4">
        <v>1612.3799999999999</v>
      </c>
      <c r="AE28" s="2">
        <v>600</v>
      </c>
      <c r="AF28" s="5">
        <v>0</v>
      </c>
      <c r="AG28" s="2">
        <v>27500.000000000004</v>
      </c>
      <c r="AH28" s="2">
        <v>0</v>
      </c>
      <c r="AI28" s="2">
        <v>27500.000000000004</v>
      </c>
      <c r="AJ28" s="2">
        <v>25000.000000000004</v>
      </c>
      <c r="AK28" s="5">
        <v>0</v>
      </c>
      <c r="AL28" s="2">
        <v>1659000</v>
      </c>
      <c r="AM28" s="4">
        <v>1420.44</v>
      </c>
      <c r="AN28" s="2">
        <v>800</v>
      </c>
      <c r="AO28" s="5">
        <v>0</v>
      </c>
      <c r="AP28" s="2">
        <v>27800</v>
      </c>
      <c r="AQ28" s="2">
        <v>0</v>
      </c>
      <c r="AR28" s="2">
        <v>27800</v>
      </c>
      <c r="AS28" s="2">
        <v>29000.000000000004</v>
      </c>
      <c r="AT28" s="5">
        <v>0</v>
      </c>
      <c r="AU28" s="2">
        <v>3545999.9999999995</v>
      </c>
      <c r="AV28" s="4">
        <v>1356.6799999999998</v>
      </c>
      <c r="AW28" s="2">
        <v>100</v>
      </c>
      <c r="AX28" s="5">
        <v>0.2</v>
      </c>
      <c r="AY28" s="2">
        <v>30100</v>
      </c>
      <c r="AZ28" s="2">
        <v>0</v>
      </c>
      <c r="BA28" s="2">
        <v>30100</v>
      </c>
      <c r="BB28" s="2">
        <v>30000.000000000004</v>
      </c>
      <c r="BC28" s="5">
        <v>0</v>
      </c>
      <c r="BD28" s="2">
        <v>338999.99999999994</v>
      </c>
      <c r="BE28" s="4">
        <v>1206.5299999999997</v>
      </c>
    </row>
    <row r="29" spans="1:57" x14ac:dyDescent="0.2">
      <c r="A29" s="1">
        <v>22</v>
      </c>
      <c r="B29" s="3">
        <v>44064</v>
      </c>
      <c r="C29" s="2">
        <v>1800.0000000000002</v>
      </c>
      <c r="D29" s="5">
        <v>0.3</v>
      </c>
      <c r="E29" s="2">
        <v>10500</v>
      </c>
      <c r="F29" s="2">
        <v>0</v>
      </c>
      <c r="G29" s="2">
        <v>10500</v>
      </c>
      <c r="H29" s="2">
        <v>7000.0000000000009</v>
      </c>
      <c r="I29" s="5">
        <v>0</v>
      </c>
      <c r="J29" s="2">
        <v>15921000</v>
      </c>
      <c r="K29" s="4">
        <v>2239.23</v>
      </c>
      <c r="L29" s="2">
        <v>2400</v>
      </c>
      <c r="M29" s="5">
        <v>0</v>
      </c>
      <c r="N29" s="2">
        <v>26400.000000000004</v>
      </c>
      <c r="O29" s="2">
        <v>0</v>
      </c>
      <c r="P29" s="2">
        <v>0</v>
      </c>
      <c r="Q29" s="2">
        <v>26400.000000000004</v>
      </c>
      <c r="R29" s="2">
        <v>16000.000000000002</v>
      </c>
      <c r="S29" s="5">
        <v>0</v>
      </c>
      <c r="T29" s="2">
        <v>19078000</v>
      </c>
      <c r="U29" s="4">
        <v>1841.76</v>
      </c>
      <c r="V29" s="2">
        <v>2400</v>
      </c>
      <c r="W29" s="5">
        <v>0</v>
      </c>
      <c r="X29" s="2">
        <v>25500.000000000004</v>
      </c>
      <c r="Y29" s="2">
        <v>0</v>
      </c>
      <c r="Z29" s="2">
        <v>25500.000000000004</v>
      </c>
      <c r="AA29" s="2">
        <v>27000.000000000004</v>
      </c>
      <c r="AB29" s="5">
        <v>0</v>
      </c>
      <c r="AC29" s="2">
        <v>20229999.999999996</v>
      </c>
      <c r="AD29" s="4">
        <v>1612.32</v>
      </c>
      <c r="AE29" s="2">
        <v>600</v>
      </c>
      <c r="AF29" s="5">
        <v>0</v>
      </c>
      <c r="AG29" s="2">
        <v>28100.000000000004</v>
      </c>
      <c r="AH29" s="2">
        <v>0</v>
      </c>
      <c r="AI29" s="2">
        <v>28100.000000000004</v>
      </c>
      <c r="AJ29" s="2">
        <v>25000.000000000004</v>
      </c>
      <c r="AK29" s="5">
        <v>0</v>
      </c>
      <c r="AL29" s="2">
        <v>1651999.9999999998</v>
      </c>
      <c r="AM29" s="4">
        <v>1420.38</v>
      </c>
      <c r="AN29" s="2">
        <v>800</v>
      </c>
      <c r="AO29" s="5">
        <v>0</v>
      </c>
      <c r="AP29" s="2">
        <v>27800</v>
      </c>
      <c r="AQ29" s="2">
        <v>0</v>
      </c>
      <c r="AR29" s="2">
        <v>27800</v>
      </c>
      <c r="AS29" s="2">
        <v>31000</v>
      </c>
      <c r="AT29" s="5">
        <v>0</v>
      </c>
      <c r="AU29" s="2">
        <v>3551000</v>
      </c>
      <c r="AV29" s="4">
        <v>1356.74</v>
      </c>
      <c r="AW29" s="2">
        <v>100</v>
      </c>
      <c r="AX29" s="5">
        <v>0.2</v>
      </c>
      <c r="AY29" s="2">
        <v>30000.000000000004</v>
      </c>
      <c r="AZ29" s="2">
        <v>0</v>
      </c>
      <c r="BA29" s="2">
        <v>30000.000000000004</v>
      </c>
      <c r="BB29" s="2">
        <v>31000</v>
      </c>
      <c r="BC29" s="5">
        <v>0</v>
      </c>
      <c r="BD29" s="2">
        <v>340999.99999999994</v>
      </c>
      <c r="BE29" s="4">
        <v>1206.57</v>
      </c>
    </row>
    <row r="30" spans="1:57" x14ac:dyDescent="0.2">
      <c r="A30" s="1">
        <v>23</v>
      </c>
      <c r="B30" s="3">
        <v>44065</v>
      </c>
      <c r="C30" s="2">
        <v>1800.0000000000002</v>
      </c>
      <c r="D30" s="5">
        <v>0.3</v>
      </c>
      <c r="E30" s="2">
        <v>10800.000000000002</v>
      </c>
      <c r="F30" s="2">
        <v>0</v>
      </c>
      <c r="G30" s="2">
        <v>10800.000000000002</v>
      </c>
      <c r="H30" s="2">
        <v>7000.0000000000009</v>
      </c>
      <c r="I30" s="5">
        <v>0</v>
      </c>
      <c r="J30" s="2">
        <v>15909999.999999998</v>
      </c>
      <c r="K30" s="4">
        <v>2239.2199999999993</v>
      </c>
      <c r="L30" s="2">
        <v>2400</v>
      </c>
      <c r="M30" s="5">
        <v>0</v>
      </c>
      <c r="N30" s="2">
        <v>26400.000000000004</v>
      </c>
      <c r="O30" s="2">
        <v>0</v>
      </c>
      <c r="P30" s="2">
        <v>0</v>
      </c>
      <c r="Q30" s="2">
        <v>26400.000000000004</v>
      </c>
      <c r="R30" s="2">
        <v>16000.000000000002</v>
      </c>
      <c r="S30" s="5">
        <v>0</v>
      </c>
      <c r="T30" s="2">
        <v>19052999.999999996</v>
      </c>
      <c r="U30" s="4">
        <v>1841.5799999999997</v>
      </c>
      <c r="V30" s="2">
        <v>2400</v>
      </c>
      <c r="W30" s="5">
        <v>0</v>
      </c>
      <c r="X30" s="2">
        <v>23500</v>
      </c>
      <c r="Y30" s="2">
        <v>0</v>
      </c>
      <c r="Z30" s="2">
        <v>23500</v>
      </c>
      <c r="AA30" s="2">
        <v>27000.000000000004</v>
      </c>
      <c r="AB30" s="5">
        <v>0</v>
      </c>
      <c r="AC30" s="2">
        <v>20232000</v>
      </c>
      <c r="AD30" s="4">
        <v>1612.4099999999999</v>
      </c>
      <c r="AE30" s="2">
        <v>600</v>
      </c>
      <c r="AF30" s="5">
        <v>0</v>
      </c>
      <c r="AG30" s="2">
        <v>13500.000000000002</v>
      </c>
      <c r="AH30" s="2">
        <v>0</v>
      </c>
      <c r="AI30" s="2">
        <v>13500.000000000002</v>
      </c>
      <c r="AJ30" s="2">
        <v>24000</v>
      </c>
      <c r="AK30" s="5">
        <v>0</v>
      </c>
      <c r="AL30" s="2">
        <v>1672000</v>
      </c>
      <c r="AM30" s="4">
        <v>1420.6899999999998</v>
      </c>
      <c r="AN30" s="2">
        <v>800</v>
      </c>
      <c r="AO30" s="5">
        <v>0</v>
      </c>
      <c r="AP30" s="2">
        <v>28000.000000000004</v>
      </c>
      <c r="AQ30" s="2">
        <v>0</v>
      </c>
      <c r="AR30" s="2">
        <v>28000.000000000004</v>
      </c>
      <c r="AS30" s="2">
        <v>18000</v>
      </c>
      <c r="AT30" s="5">
        <v>0</v>
      </c>
      <c r="AU30" s="2">
        <v>3530000</v>
      </c>
      <c r="AV30" s="4">
        <v>1356.41</v>
      </c>
      <c r="AW30" s="2">
        <v>100</v>
      </c>
      <c r="AX30" s="5">
        <v>0.2</v>
      </c>
      <c r="AY30" s="2">
        <v>30000.000000000004</v>
      </c>
      <c r="AZ30" s="2">
        <v>0</v>
      </c>
      <c r="BA30" s="2">
        <v>30000.000000000004</v>
      </c>
      <c r="BB30" s="2">
        <v>30000.000000000004</v>
      </c>
      <c r="BC30" s="5">
        <v>0</v>
      </c>
      <c r="BD30" s="2">
        <v>340999.99999999994</v>
      </c>
      <c r="BE30" s="4">
        <v>1206.57</v>
      </c>
    </row>
    <row r="31" spans="1:57" x14ac:dyDescent="0.2">
      <c r="A31" s="1">
        <v>24</v>
      </c>
      <c r="B31" s="3">
        <v>44066</v>
      </c>
      <c r="C31" s="2">
        <v>1800.0000000000002</v>
      </c>
      <c r="D31" s="5">
        <v>0.3</v>
      </c>
      <c r="E31" s="2">
        <v>11000</v>
      </c>
      <c r="F31" s="2">
        <v>0</v>
      </c>
      <c r="G31" s="2">
        <v>11000</v>
      </c>
      <c r="H31" s="2">
        <v>7000.0000000000009</v>
      </c>
      <c r="I31" s="5">
        <v>0</v>
      </c>
      <c r="J31" s="2">
        <v>15897999.999999998</v>
      </c>
      <c r="K31" s="4">
        <v>2239.14</v>
      </c>
      <c r="L31" s="2">
        <v>2400</v>
      </c>
      <c r="M31" s="5">
        <v>0</v>
      </c>
      <c r="N31" s="2">
        <v>26400.000000000004</v>
      </c>
      <c r="O31" s="2">
        <v>0</v>
      </c>
      <c r="P31" s="2">
        <v>0</v>
      </c>
      <c r="Q31" s="2">
        <v>26400.000000000004</v>
      </c>
      <c r="R31" s="2">
        <v>15000.000000000002</v>
      </c>
      <c r="S31" s="5">
        <v>0</v>
      </c>
      <c r="T31" s="2">
        <v>19026000</v>
      </c>
      <c r="U31" s="4">
        <v>1841.4299999999998</v>
      </c>
      <c r="V31" s="2">
        <v>2400</v>
      </c>
      <c r="W31" s="5">
        <v>0</v>
      </c>
      <c r="X31" s="2">
        <v>21300</v>
      </c>
      <c r="Y31" s="2">
        <v>0</v>
      </c>
      <c r="Z31" s="2">
        <v>21300</v>
      </c>
      <c r="AA31" s="2">
        <v>27000.000000000004</v>
      </c>
      <c r="AB31" s="5">
        <v>0</v>
      </c>
      <c r="AC31" s="2">
        <v>20239000</v>
      </c>
      <c r="AD31" s="4">
        <v>1612.42</v>
      </c>
      <c r="AE31" s="2">
        <v>600</v>
      </c>
      <c r="AF31" s="5">
        <v>0</v>
      </c>
      <c r="AG31" s="2">
        <v>11400</v>
      </c>
      <c r="AH31" s="2">
        <v>0</v>
      </c>
      <c r="AI31" s="2">
        <v>11400</v>
      </c>
      <c r="AJ31" s="2">
        <v>21000</v>
      </c>
      <c r="AK31" s="5">
        <v>0</v>
      </c>
      <c r="AL31" s="2">
        <v>1689999.9999999998</v>
      </c>
      <c r="AM31" s="4">
        <v>1420.9499999999998</v>
      </c>
      <c r="AN31" s="2">
        <v>700</v>
      </c>
      <c r="AO31" s="5">
        <v>0</v>
      </c>
      <c r="AP31" s="2">
        <v>28300</v>
      </c>
      <c r="AQ31" s="2">
        <v>0</v>
      </c>
      <c r="AR31" s="2">
        <v>28300</v>
      </c>
      <c r="AS31" s="2">
        <v>12000</v>
      </c>
      <c r="AT31" s="5">
        <v>0</v>
      </c>
      <c r="AU31" s="2">
        <v>3495999.9999999995</v>
      </c>
      <c r="AV31" s="4">
        <v>1356.02</v>
      </c>
      <c r="AW31" s="2">
        <v>100</v>
      </c>
      <c r="AX31" s="5">
        <v>0.2</v>
      </c>
      <c r="AY31" s="2">
        <v>29900</v>
      </c>
      <c r="AZ31" s="2">
        <v>0</v>
      </c>
      <c r="BA31" s="2">
        <v>29900</v>
      </c>
      <c r="BB31" s="2">
        <v>30000.000000000004</v>
      </c>
      <c r="BC31" s="5">
        <v>0</v>
      </c>
      <c r="BD31" s="2">
        <v>340999.99999999994</v>
      </c>
      <c r="BE31" s="4">
        <v>1206.58</v>
      </c>
    </row>
    <row r="32" spans="1:57" x14ac:dyDescent="0.2">
      <c r="A32" s="1">
        <v>25</v>
      </c>
      <c r="B32" s="3">
        <v>44067</v>
      </c>
      <c r="C32" s="2">
        <v>2400</v>
      </c>
      <c r="D32" s="5">
        <v>0.4</v>
      </c>
      <c r="E32" s="2">
        <v>10600.000000000002</v>
      </c>
      <c r="F32" s="2">
        <v>0</v>
      </c>
      <c r="G32" s="2">
        <v>10600.000000000002</v>
      </c>
      <c r="H32" s="2">
        <v>7000.0000000000009</v>
      </c>
      <c r="I32" s="5">
        <v>0</v>
      </c>
      <c r="J32" s="2">
        <v>15886000</v>
      </c>
      <c r="K32" s="4">
        <v>2239.0299999999997</v>
      </c>
      <c r="L32" s="2">
        <v>2400</v>
      </c>
      <c r="M32" s="5">
        <v>0</v>
      </c>
      <c r="N32" s="2">
        <v>27500.000000000004</v>
      </c>
      <c r="O32" s="2">
        <v>0</v>
      </c>
      <c r="P32" s="2">
        <v>0</v>
      </c>
      <c r="Q32" s="2">
        <v>27500.000000000004</v>
      </c>
      <c r="R32" s="2">
        <v>14000.000000000002</v>
      </c>
      <c r="S32" s="5">
        <v>0</v>
      </c>
      <c r="T32" s="2">
        <v>18994000</v>
      </c>
      <c r="U32" s="4">
        <v>1841.27</v>
      </c>
      <c r="V32" s="2">
        <v>2400</v>
      </c>
      <c r="W32" s="5">
        <v>0</v>
      </c>
      <c r="X32" s="2">
        <v>25300</v>
      </c>
      <c r="Y32" s="2">
        <v>0</v>
      </c>
      <c r="Z32" s="2">
        <v>25300</v>
      </c>
      <c r="AA32" s="2">
        <v>27000.000000000004</v>
      </c>
      <c r="AB32" s="5">
        <v>0</v>
      </c>
      <c r="AC32" s="2">
        <v>20238000</v>
      </c>
      <c r="AD32" s="4">
        <v>1612.4699999999998</v>
      </c>
      <c r="AE32" s="2">
        <v>600</v>
      </c>
      <c r="AF32" s="5">
        <v>0</v>
      </c>
      <c r="AG32" s="2">
        <v>27200.000000000004</v>
      </c>
      <c r="AH32" s="2">
        <v>0</v>
      </c>
      <c r="AI32" s="2">
        <v>27200.000000000004</v>
      </c>
      <c r="AJ32" s="2">
        <v>24000</v>
      </c>
      <c r="AK32" s="5">
        <v>0.3</v>
      </c>
      <c r="AL32" s="2">
        <v>1682000</v>
      </c>
      <c r="AM32" s="4">
        <v>1420.91</v>
      </c>
      <c r="AN32" s="2">
        <v>700</v>
      </c>
      <c r="AO32" s="5">
        <v>0</v>
      </c>
      <c r="AP32" s="2">
        <v>28300</v>
      </c>
      <c r="AQ32" s="2">
        <v>0</v>
      </c>
      <c r="AR32" s="2">
        <v>28300</v>
      </c>
      <c r="AS32" s="2">
        <v>23000.000000000004</v>
      </c>
      <c r="AT32" s="5">
        <v>0</v>
      </c>
      <c r="AU32" s="2">
        <v>3483999.9999999995</v>
      </c>
      <c r="AV32" s="4">
        <v>1355.88</v>
      </c>
      <c r="AW32" s="2">
        <v>100</v>
      </c>
      <c r="AX32" s="5">
        <v>0.2</v>
      </c>
      <c r="AY32" s="2">
        <v>30000.000000000004</v>
      </c>
      <c r="AZ32" s="2">
        <v>0</v>
      </c>
      <c r="BA32" s="2">
        <v>30000.000000000004</v>
      </c>
      <c r="BB32" s="2">
        <v>30000.000000000004</v>
      </c>
      <c r="BC32" s="5">
        <v>0</v>
      </c>
      <c r="BD32" s="2">
        <v>340999.99999999994</v>
      </c>
      <c r="BE32" s="4">
        <v>1206.5999999999999</v>
      </c>
    </row>
    <row r="33" spans="1:57" x14ac:dyDescent="0.2">
      <c r="A33" s="1">
        <v>26</v>
      </c>
      <c r="B33" s="3">
        <v>44068</v>
      </c>
      <c r="C33" s="2">
        <v>1800.0000000000002</v>
      </c>
      <c r="D33" s="5">
        <v>0.3</v>
      </c>
      <c r="E33" s="2">
        <v>11100</v>
      </c>
      <c r="F33" s="2">
        <v>0</v>
      </c>
      <c r="G33" s="2">
        <v>11100</v>
      </c>
      <c r="H33" s="2">
        <v>7000.0000000000009</v>
      </c>
      <c r="I33" s="5">
        <v>0</v>
      </c>
      <c r="J33" s="2">
        <v>15874000</v>
      </c>
      <c r="K33" s="4">
        <v>2239.1599999999994</v>
      </c>
      <c r="L33" s="2">
        <v>2400</v>
      </c>
      <c r="M33" s="5">
        <v>0</v>
      </c>
      <c r="N33" s="2">
        <v>26400.000000000004</v>
      </c>
      <c r="O33" s="2">
        <v>0</v>
      </c>
      <c r="P33" s="2">
        <v>0</v>
      </c>
      <c r="Q33" s="2">
        <v>26400.000000000004</v>
      </c>
      <c r="R33" s="2">
        <v>14000.000000000002</v>
      </c>
      <c r="S33" s="5">
        <v>0</v>
      </c>
      <c r="T33" s="2">
        <v>18964999.999999996</v>
      </c>
      <c r="U33" s="4">
        <v>1841.28</v>
      </c>
      <c r="V33" s="2">
        <v>2400</v>
      </c>
      <c r="W33" s="5">
        <v>0</v>
      </c>
      <c r="X33" s="2">
        <v>25000.000000000004</v>
      </c>
      <c r="Y33" s="2">
        <v>0</v>
      </c>
      <c r="Z33" s="2">
        <v>25000.000000000004</v>
      </c>
      <c r="AA33" s="2">
        <v>28000.000000000004</v>
      </c>
      <c r="AB33" s="5">
        <v>0</v>
      </c>
      <c r="AC33" s="2">
        <v>20239000</v>
      </c>
      <c r="AD33" s="4">
        <v>1612.42</v>
      </c>
      <c r="AE33" s="2">
        <v>600</v>
      </c>
      <c r="AF33" s="5">
        <v>0</v>
      </c>
      <c r="AG33" s="2">
        <v>26800.000000000004</v>
      </c>
      <c r="AH33" s="2">
        <v>0</v>
      </c>
      <c r="AI33" s="2">
        <v>26800.000000000004</v>
      </c>
      <c r="AJ33" s="2">
        <v>25000.000000000004</v>
      </c>
      <c r="AK33" s="5">
        <v>0</v>
      </c>
      <c r="AL33" s="2">
        <v>1676999.9999999998</v>
      </c>
      <c r="AM33" s="4">
        <v>1420.79</v>
      </c>
      <c r="AN33" s="2">
        <v>700</v>
      </c>
      <c r="AO33" s="5">
        <v>0</v>
      </c>
      <c r="AP33" s="2">
        <v>28200.000000000004</v>
      </c>
      <c r="AQ33" s="2">
        <v>0</v>
      </c>
      <c r="AR33" s="2">
        <v>28200.000000000004</v>
      </c>
      <c r="AS33" s="2">
        <v>27000.000000000004</v>
      </c>
      <c r="AT33" s="5">
        <v>0</v>
      </c>
      <c r="AU33" s="2">
        <v>3480000</v>
      </c>
      <c r="AV33" s="4">
        <v>1355.7099999999998</v>
      </c>
      <c r="AW33" s="2">
        <v>100</v>
      </c>
      <c r="AX33" s="5">
        <v>0.2</v>
      </c>
      <c r="AY33" s="2">
        <v>30000.000000000004</v>
      </c>
      <c r="AZ33" s="2">
        <v>0</v>
      </c>
      <c r="BA33" s="2">
        <v>30000.000000000004</v>
      </c>
      <c r="BB33" s="2">
        <v>30000.000000000004</v>
      </c>
      <c r="BC33" s="5">
        <v>0</v>
      </c>
      <c r="BD33" s="2">
        <v>340999.99999999994</v>
      </c>
      <c r="BE33" s="4">
        <v>1206.6199999999997</v>
      </c>
    </row>
    <row r="34" spans="1:57" x14ac:dyDescent="0.2">
      <c r="A34" s="1">
        <v>27</v>
      </c>
      <c r="B34" s="3">
        <v>44069</v>
      </c>
      <c r="C34" s="2">
        <v>2400</v>
      </c>
      <c r="D34" s="5">
        <v>0.4</v>
      </c>
      <c r="E34" s="2">
        <v>11100</v>
      </c>
      <c r="F34" s="2">
        <v>0</v>
      </c>
      <c r="G34" s="2">
        <v>11100</v>
      </c>
      <c r="H34" s="2">
        <v>7000.0000000000009</v>
      </c>
      <c r="I34" s="5">
        <v>0</v>
      </c>
      <c r="J34" s="2">
        <v>15860999.999999998</v>
      </c>
      <c r="K34" s="4">
        <v>2238.9199999999996</v>
      </c>
      <c r="L34" s="2">
        <v>2400</v>
      </c>
      <c r="M34" s="5">
        <v>0</v>
      </c>
      <c r="N34" s="2">
        <v>26700</v>
      </c>
      <c r="O34" s="2">
        <v>0</v>
      </c>
      <c r="P34" s="2">
        <v>100.00000002825175</v>
      </c>
      <c r="Q34" s="2">
        <v>26700</v>
      </c>
      <c r="R34" s="2">
        <v>14000.000000000002</v>
      </c>
      <c r="S34" s="5">
        <v>0</v>
      </c>
      <c r="T34" s="2">
        <v>18935000</v>
      </c>
      <c r="U34" s="4">
        <v>1841.1699999999998</v>
      </c>
      <c r="V34" s="2">
        <v>2400</v>
      </c>
      <c r="W34" s="5">
        <v>0</v>
      </c>
      <c r="X34" s="2">
        <v>25100</v>
      </c>
      <c r="Y34" s="2">
        <v>0</v>
      </c>
      <c r="Z34" s="2">
        <v>25100</v>
      </c>
      <c r="AA34" s="2">
        <v>28000.000000000004</v>
      </c>
      <c r="AB34" s="5">
        <v>0</v>
      </c>
      <c r="AC34" s="2">
        <v>20240000</v>
      </c>
      <c r="AD34" s="4">
        <v>1612.35</v>
      </c>
      <c r="AE34" s="2">
        <v>600</v>
      </c>
      <c r="AF34" s="5">
        <v>0</v>
      </c>
      <c r="AG34" s="2">
        <v>27400</v>
      </c>
      <c r="AH34" s="2">
        <v>0</v>
      </c>
      <c r="AI34" s="2">
        <v>27400</v>
      </c>
      <c r="AJ34" s="2">
        <v>25000.000000000004</v>
      </c>
      <c r="AK34" s="5">
        <v>0</v>
      </c>
      <c r="AL34" s="2">
        <v>1671000</v>
      </c>
      <c r="AM34" s="4">
        <v>1420.73</v>
      </c>
      <c r="AN34" s="2">
        <v>700</v>
      </c>
      <c r="AO34" s="5">
        <v>0</v>
      </c>
      <c r="AP34" s="2">
        <v>28300</v>
      </c>
      <c r="AQ34" s="2">
        <v>0</v>
      </c>
      <c r="AR34" s="2">
        <v>28300</v>
      </c>
      <c r="AS34" s="2">
        <v>27000.000000000004</v>
      </c>
      <c r="AT34" s="5">
        <v>0</v>
      </c>
      <c r="AU34" s="2">
        <v>3475999.9999999995</v>
      </c>
      <c r="AV34" s="4">
        <v>1355.8</v>
      </c>
      <c r="AW34" s="2">
        <v>100</v>
      </c>
      <c r="AX34" s="5">
        <v>0.2</v>
      </c>
      <c r="AY34" s="2">
        <v>30000.000000000004</v>
      </c>
      <c r="AZ34" s="2">
        <v>0</v>
      </c>
      <c r="BA34" s="2">
        <v>30000.000000000004</v>
      </c>
      <c r="BB34" s="2">
        <v>31000</v>
      </c>
      <c r="BC34" s="5">
        <v>0</v>
      </c>
      <c r="BD34" s="2">
        <v>343000</v>
      </c>
      <c r="BE34" s="4">
        <v>1206.72</v>
      </c>
    </row>
    <row r="35" spans="1:57" x14ac:dyDescent="0.2">
      <c r="A35" s="1">
        <v>28</v>
      </c>
      <c r="B35" s="3">
        <v>44070</v>
      </c>
      <c r="C35" s="2">
        <v>2400</v>
      </c>
      <c r="D35" s="5">
        <v>0.4</v>
      </c>
      <c r="E35" s="2">
        <v>11300</v>
      </c>
      <c r="F35" s="2">
        <v>0</v>
      </c>
      <c r="G35" s="2">
        <v>11300</v>
      </c>
      <c r="H35" s="2">
        <v>7000.0000000000009</v>
      </c>
      <c r="I35" s="5">
        <v>0</v>
      </c>
      <c r="J35" s="2">
        <v>15847999.999999998</v>
      </c>
      <c r="K35" s="4">
        <v>2238.7199999999998</v>
      </c>
      <c r="L35" s="2">
        <v>2400</v>
      </c>
      <c r="M35" s="5">
        <v>0</v>
      </c>
      <c r="N35" s="2">
        <v>27300.000000000004</v>
      </c>
      <c r="O35" s="2">
        <v>0</v>
      </c>
      <c r="P35" s="2">
        <v>100.00000002825175</v>
      </c>
      <c r="Q35" s="2">
        <v>27300.000000000004</v>
      </c>
      <c r="R35" s="2">
        <v>14000.000000000002</v>
      </c>
      <c r="S35" s="5">
        <v>0</v>
      </c>
      <c r="T35" s="2">
        <v>18904000</v>
      </c>
      <c r="U35" s="4">
        <v>1841.2599999999998</v>
      </c>
      <c r="V35" s="2">
        <v>2400</v>
      </c>
      <c r="W35" s="5">
        <v>0</v>
      </c>
      <c r="X35" s="2">
        <v>26700</v>
      </c>
      <c r="Y35" s="2">
        <v>0</v>
      </c>
      <c r="Z35" s="2">
        <v>26700</v>
      </c>
      <c r="AA35" s="2">
        <v>28000.000000000004</v>
      </c>
      <c r="AB35" s="5">
        <v>0</v>
      </c>
      <c r="AC35" s="2">
        <v>20238000</v>
      </c>
      <c r="AD35" s="4">
        <v>1613.0599999999997</v>
      </c>
      <c r="AE35" s="2">
        <v>600</v>
      </c>
      <c r="AF35" s="5">
        <v>0</v>
      </c>
      <c r="AG35" s="2">
        <v>29000.000000000004</v>
      </c>
      <c r="AH35" s="2">
        <v>0</v>
      </c>
      <c r="AI35" s="2">
        <v>29000.000000000004</v>
      </c>
      <c r="AJ35" s="2">
        <v>27000.000000000004</v>
      </c>
      <c r="AK35" s="5">
        <v>0</v>
      </c>
      <c r="AL35" s="2">
        <v>1665999.9999999998</v>
      </c>
      <c r="AM35" s="4">
        <v>1420.85</v>
      </c>
      <c r="AN35" s="2">
        <v>700</v>
      </c>
      <c r="AO35" s="5">
        <v>0</v>
      </c>
      <c r="AP35" s="2">
        <v>28300</v>
      </c>
      <c r="AQ35" s="2">
        <v>0</v>
      </c>
      <c r="AR35" s="2">
        <v>28300</v>
      </c>
      <c r="AS35" s="2">
        <v>30000.000000000004</v>
      </c>
      <c r="AT35" s="5">
        <v>0</v>
      </c>
      <c r="AU35" s="2">
        <v>3478000</v>
      </c>
      <c r="AV35" s="4">
        <v>1355.82</v>
      </c>
      <c r="AW35" s="2">
        <v>100</v>
      </c>
      <c r="AX35" s="5">
        <v>0.2</v>
      </c>
      <c r="AY35" s="2">
        <v>30000.000000000004</v>
      </c>
      <c r="AZ35" s="2">
        <v>0</v>
      </c>
      <c r="BA35" s="2">
        <v>30000.000000000004</v>
      </c>
      <c r="BB35" s="2">
        <v>30000.000000000004</v>
      </c>
      <c r="BC35" s="5">
        <v>0</v>
      </c>
      <c r="BD35" s="2">
        <v>343000</v>
      </c>
      <c r="BE35" s="4">
        <v>1206.72</v>
      </c>
    </row>
    <row r="36" spans="1:57" x14ac:dyDescent="0.2">
      <c r="A36" s="1">
        <v>29</v>
      </c>
      <c r="B36" s="3">
        <v>44071</v>
      </c>
      <c r="C36" s="2">
        <v>1800.0000000000002</v>
      </c>
      <c r="D36" s="5">
        <v>0.3</v>
      </c>
      <c r="E36" s="2">
        <v>11200</v>
      </c>
      <c r="F36" s="2">
        <v>0</v>
      </c>
      <c r="G36" s="2">
        <v>11200</v>
      </c>
      <c r="H36" s="2">
        <v>6000</v>
      </c>
      <c r="I36" s="5">
        <v>0</v>
      </c>
      <c r="J36" s="2">
        <v>15834000</v>
      </c>
      <c r="K36" s="4">
        <v>2238.8099999999995</v>
      </c>
      <c r="L36" s="2">
        <v>2400</v>
      </c>
      <c r="M36" s="5">
        <v>0</v>
      </c>
      <c r="N36" s="2">
        <v>26800.000000000004</v>
      </c>
      <c r="O36" s="2">
        <v>0</v>
      </c>
      <c r="P36" s="2">
        <v>100.00000002825175</v>
      </c>
      <c r="Q36" s="2">
        <v>26800.000000000004</v>
      </c>
      <c r="R36" s="2">
        <v>14000.000000000002</v>
      </c>
      <c r="S36" s="5">
        <v>0</v>
      </c>
      <c r="T36" s="2">
        <v>18874000</v>
      </c>
      <c r="U36" s="4">
        <v>1841.08</v>
      </c>
      <c r="V36" s="2">
        <v>2400</v>
      </c>
      <c r="W36" s="5">
        <v>0</v>
      </c>
      <c r="X36" s="2">
        <v>26700</v>
      </c>
      <c r="Y36" s="2">
        <v>0</v>
      </c>
      <c r="Z36" s="2">
        <v>26700</v>
      </c>
      <c r="AA36" s="2">
        <v>28000.000000000004</v>
      </c>
      <c r="AB36" s="5">
        <v>0</v>
      </c>
      <c r="AC36" s="2">
        <v>20236000</v>
      </c>
      <c r="AD36" s="4">
        <v>1612.42</v>
      </c>
      <c r="AE36" s="2">
        <v>600</v>
      </c>
      <c r="AF36" s="5">
        <v>0</v>
      </c>
      <c r="AG36" s="2">
        <v>29500.000000000004</v>
      </c>
      <c r="AH36" s="2">
        <v>0</v>
      </c>
      <c r="AI36" s="2">
        <v>29500.000000000004</v>
      </c>
      <c r="AJ36" s="2">
        <v>27000.000000000004</v>
      </c>
      <c r="AK36" s="5">
        <v>0.17999999999999997</v>
      </c>
      <c r="AL36" s="2">
        <v>1660000</v>
      </c>
      <c r="AM36" s="4">
        <v>1420.59</v>
      </c>
      <c r="AN36" s="2">
        <v>700</v>
      </c>
      <c r="AO36" s="5">
        <v>0</v>
      </c>
      <c r="AP36" s="2">
        <v>28400.000000000004</v>
      </c>
      <c r="AQ36" s="2">
        <v>0</v>
      </c>
      <c r="AR36" s="2">
        <v>28400.000000000004</v>
      </c>
      <c r="AS36" s="2">
        <v>31000</v>
      </c>
      <c r="AT36" s="5">
        <v>0.02</v>
      </c>
      <c r="AU36" s="2">
        <v>3482000</v>
      </c>
      <c r="AV36" s="4">
        <v>1355.9499999999998</v>
      </c>
      <c r="AW36" s="2">
        <v>100</v>
      </c>
      <c r="AX36" s="5">
        <v>0.2</v>
      </c>
      <c r="AY36" s="2">
        <v>30000.000000000004</v>
      </c>
      <c r="AZ36" s="2">
        <v>0</v>
      </c>
      <c r="BA36" s="2">
        <v>30000.000000000004</v>
      </c>
      <c r="BB36" s="2">
        <v>31000</v>
      </c>
      <c r="BC36" s="5">
        <v>0</v>
      </c>
      <c r="BD36" s="2">
        <v>345000</v>
      </c>
      <c r="BE36" s="4">
        <v>1206.75</v>
      </c>
    </row>
    <row r="37" spans="1:57" x14ac:dyDescent="0.2">
      <c r="A37" s="1">
        <v>30</v>
      </c>
      <c r="B37" s="3">
        <v>44072</v>
      </c>
      <c r="C37" s="2">
        <v>2400</v>
      </c>
      <c r="D37" s="5">
        <v>0.4</v>
      </c>
      <c r="E37" s="2">
        <v>11000</v>
      </c>
      <c r="F37" s="2">
        <v>0</v>
      </c>
      <c r="G37" s="2">
        <v>11000</v>
      </c>
      <c r="H37" s="2">
        <v>7000.0000000000009</v>
      </c>
      <c r="I37" s="5">
        <v>0</v>
      </c>
      <c r="J37" s="2">
        <v>15821000</v>
      </c>
      <c r="K37" s="4">
        <v>2238.7199999999998</v>
      </c>
      <c r="L37" s="2">
        <v>2400</v>
      </c>
      <c r="M37" s="5">
        <v>0</v>
      </c>
      <c r="N37" s="2">
        <v>26500</v>
      </c>
      <c r="O37" s="2">
        <v>0</v>
      </c>
      <c r="P37" s="2">
        <v>100.00000002825175</v>
      </c>
      <c r="Q37" s="2">
        <v>26500</v>
      </c>
      <c r="R37" s="2">
        <v>14000.000000000002</v>
      </c>
      <c r="S37" s="5">
        <v>0</v>
      </c>
      <c r="T37" s="2">
        <v>18843999.999999996</v>
      </c>
      <c r="U37" s="4">
        <v>1840.7999999999997</v>
      </c>
      <c r="V37" s="2">
        <v>2400</v>
      </c>
      <c r="W37" s="5">
        <v>0</v>
      </c>
      <c r="X37" s="2">
        <v>25300</v>
      </c>
      <c r="Y37" s="2">
        <v>0</v>
      </c>
      <c r="Z37" s="2">
        <v>25300</v>
      </c>
      <c r="AA37" s="2">
        <v>28000.000000000004</v>
      </c>
      <c r="AB37" s="5">
        <v>0</v>
      </c>
      <c r="AC37" s="2">
        <v>20237000</v>
      </c>
      <c r="AD37" s="4">
        <v>1612.23</v>
      </c>
      <c r="AE37" s="2">
        <v>600</v>
      </c>
      <c r="AF37" s="5">
        <v>0</v>
      </c>
      <c r="AG37" s="2">
        <v>15900.000000000002</v>
      </c>
      <c r="AH37" s="2">
        <v>0</v>
      </c>
      <c r="AI37" s="2">
        <v>15900.000000000002</v>
      </c>
      <c r="AJ37" s="2">
        <v>26000</v>
      </c>
      <c r="AK37" s="5">
        <v>0</v>
      </c>
      <c r="AL37" s="2">
        <v>1678999.9999999998</v>
      </c>
      <c r="AM37" s="4">
        <v>1420.76</v>
      </c>
      <c r="AN37" s="2">
        <v>700</v>
      </c>
      <c r="AO37" s="5">
        <v>0</v>
      </c>
      <c r="AP37" s="2">
        <v>28300</v>
      </c>
      <c r="AQ37" s="2">
        <v>0</v>
      </c>
      <c r="AR37" s="2">
        <v>28300</v>
      </c>
      <c r="AS37" s="2">
        <v>21000</v>
      </c>
      <c r="AT37" s="5">
        <v>0</v>
      </c>
      <c r="AU37" s="2">
        <v>3465999.9999999995</v>
      </c>
      <c r="AV37" s="4">
        <v>1355.5099999999998</v>
      </c>
      <c r="AW37" s="2">
        <v>100</v>
      </c>
      <c r="AX37" s="5">
        <v>0.2</v>
      </c>
      <c r="AY37" s="2">
        <v>29900</v>
      </c>
      <c r="AZ37" s="2">
        <v>0</v>
      </c>
      <c r="BA37" s="2">
        <v>29900</v>
      </c>
      <c r="BB37" s="2">
        <v>30000.000000000004</v>
      </c>
      <c r="BC37" s="5">
        <v>0</v>
      </c>
      <c r="BD37" s="2">
        <v>345000</v>
      </c>
      <c r="BE37" s="4">
        <v>1206.74</v>
      </c>
    </row>
    <row r="38" spans="1:57" x14ac:dyDescent="0.2">
      <c r="A38" s="1">
        <v>31</v>
      </c>
      <c r="B38" s="3">
        <v>44073</v>
      </c>
      <c r="C38" s="2">
        <v>2400</v>
      </c>
      <c r="D38" s="5">
        <v>0.4</v>
      </c>
      <c r="E38" s="2">
        <v>11100</v>
      </c>
      <c r="F38" s="2">
        <v>0</v>
      </c>
      <c r="G38" s="2">
        <v>11100</v>
      </c>
      <c r="H38" s="2">
        <v>7000.0000000000009</v>
      </c>
      <c r="I38" s="5">
        <v>0</v>
      </c>
      <c r="J38" s="2">
        <v>15807999.999999998</v>
      </c>
      <c r="K38" s="4">
        <v>2238.7199999999998</v>
      </c>
      <c r="L38" s="2">
        <v>2400</v>
      </c>
      <c r="M38" s="5">
        <v>0</v>
      </c>
      <c r="N38" s="2">
        <v>27100.000000000004</v>
      </c>
      <c r="O38" s="2">
        <v>0</v>
      </c>
      <c r="P38" s="2">
        <v>100.00000002825175</v>
      </c>
      <c r="Q38" s="2">
        <v>27100.000000000004</v>
      </c>
      <c r="R38" s="2">
        <v>14000.000000000002</v>
      </c>
      <c r="S38" s="5">
        <v>0</v>
      </c>
      <c r="T38" s="2">
        <v>18813000</v>
      </c>
      <c r="U38" s="4">
        <v>1840.93</v>
      </c>
      <c r="V38" s="2">
        <v>2400</v>
      </c>
      <c r="W38" s="5">
        <v>0</v>
      </c>
      <c r="X38" s="2">
        <v>23300</v>
      </c>
      <c r="Y38" s="2">
        <v>0</v>
      </c>
      <c r="Z38" s="2">
        <v>23300</v>
      </c>
      <c r="AA38" s="2">
        <v>28000.000000000004</v>
      </c>
      <c r="AB38" s="5">
        <v>0</v>
      </c>
      <c r="AC38" s="2">
        <v>20241999.999999996</v>
      </c>
      <c r="AD38" s="4">
        <v>1612.95</v>
      </c>
      <c r="AE38" s="2">
        <v>600</v>
      </c>
      <c r="AF38" s="5">
        <v>0</v>
      </c>
      <c r="AG38" s="2">
        <v>19600.000000000004</v>
      </c>
      <c r="AH38" s="2">
        <v>0</v>
      </c>
      <c r="AI38" s="2">
        <v>19600.000000000004</v>
      </c>
      <c r="AJ38" s="2">
        <v>24000</v>
      </c>
      <c r="AK38" s="5">
        <v>0</v>
      </c>
      <c r="AL38" s="2">
        <v>1686999.9999999998</v>
      </c>
      <c r="AM38" s="4">
        <v>1421.07</v>
      </c>
      <c r="AN38" s="2">
        <v>700</v>
      </c>
      <c r="AO38" s="5">
        <v>0</v>
      </c>
      <c r="AP38" s="2">
        <v>29000.000000000004</v>
      </c>
      <c r="AQ38" s="2">
        <v>0</v>
      </c>
      <c r="AR38" s="2">
        <v>29000.000000000004</v>
      </c>
      <c r="AS38" s="2">
        <v>18000</v>
      </c>
      <c r="AT38" s="5">
        <v>1.25</v>
      </c>
      <c r="AU38" s="2">
        <v>3443000</v>
      </c>
      <c r="AV38" s="4">
        <v>1355.78</v>
      </c>
      <c r="AW38" s="2">
        <v>100</v>
      </c>
      <c r="AX38" s="5">
        <v>0.2</v>
      </c>
      <c r="AY38" s="2">
        <v>30000.000000000004</v>
      </c>
      <c r="AZ38" s="2">
        <v>0</v>
      </c>
      <c r="BA38" s="2">
        <v>30000.000000000004</v>
      </c>
      <c r="BB38" s="2">
        <v>30000.000000000004</v>
      </c>
      <c r="BC38" s="5">
        <v>0</v>
      </c>
      <c r="BD38" s="2">
        <v>345000</v>
      </c>
      <c r="BE38" s="4">
        <v>1206.96</v>
      </c>
    </row>
    <row r="39" spans="1:57" x14ac:dyDescent="0.2">
      <c r="A39" s="1">
        <v>32</v>
      </c>
      <c r="B39" s="3">
        <v>44074</v>
      </c>
      <c r="C39" s="2">
        <v>1200</v>
      </c>
      <c r="D39" s="5">
        <v>0.2</v>
      </c>
      <c r="E39" s="2">
        <v>11100</v>
      </c>
      <c r="F39" s="2">
        <v>0</v>
      </c>
      <c r="G39" s="2">
        <v>11100</v>
      </c>
      <c r="H39" s="2">
        <v>7000.0000000000009</v>
      </c>
      <c r="I39" s="5">
        <v>0</v>
      </c>
      <c r="J39" s="2">
        <v>15797000</v>
      </c>
      <c r="K39" s="4">
        <v>2238.66</v>
      </c>
      <c r="L39" s="2">
        <v>2400</v>
      </c>
      <c r="M39" s="5">
        <v>0</v>
      </c>
      <c r="N39" s="2">
        <v>26800.000000000004</v>
      </c>
      <c r="O39" s="2">
        <v>0</v>
      </c>
      <c r="P39" s="2">
        <v>100.00000002825175</v>
      </c>
      <c r="Q39" s="2">
        <v>26800.000000000004</v>
      </c>
      <c r="R39" s="2">
        <v>14000.000000000002</v>
      </c>
      <c r="S39" s="5">
        <v>0</v>
      </c>
      <c r="T39" s="2">
        <v>18783000</v>
      </c>
      <c r="U39" s="4">
        <v>1840.7099999999998</v>
      </c>
      <c r="V39" s="2">
        <v>2400</v>
      </c>
      <c r="W39" s="5">
        <v>0</v>
      </c>
      <c r="X39" s="2">
        <v>28200.000000000004</v>
      </c>
      <c r="Y39" s="2">
        <v>0</v>
      </c>
      <c r="Z39" s="2">
        <v>28200.000000000004</v>
      </c>
      <c r="AA39" s="2">
        <v>28000.000000000004</v>
      </c>
      <c r="AB39" s="5">
        <v>0</v>
      </c>
      <c r="AC39" s="2">
        <v>20237000</v>
      </c>
      <c r="AD39" s="4">
        <v>1612.26</v>
      </c>
      <c r="AE39" s="2">
        <v>600</v>
      </c>
      <c r="AF39" s="5">
        <v>0</v>
      </c>
      <c r="AG39" s="2">
        <v>29800.000000000004</v>
      </c>
      <c r="AH39" s="2">
        <v>0</v>
      </c>
      <c r="AI39" s="2">
        <v>29800.000000000004</v>
      </c>
      <c r="AJ39" s="2">
        <v>24000</v>
      </c>
      <c r="AK39" s="5">
        <v>0.02</v>
      </c>
      <c r="AL39" s="2">
        <v>1674000</v>
      </c>
      <c r="AM39" s="4">
        <v>1420.7</v>
      </c>
      <c r="AN39" s="2">
        <v>700</v>
      </c>
      <c r="AO39" s="5">
        <v>0</v>
      </c>
      <c r="AP39" s="2">
        <v>28500</v>
      </c>
      <c r="AQ39" s="2">
        <v>0</v>
      </c>
      <c r="AR39" s="2">
        <v>28500</v>
      </c>
      <c r="AS39" s="2">
        <v>24000</v>
      </c>
      <c r="AT39" s="5">
        <v>0.15</v>
      </c>
      <c r="AU39" s="2">
        <v>3432999.9999999995</v>
      </c>
      <c r="AV39" s="4">
        <v>1355.23</v>
      </c>
      <c r="AW39" s="2">
        <v>100</v>
      </c>
      <c r="AX39" s="5">
        <v>0.2</v>
      </c>
      <c r="AY39" s="2">
        <v>30000.000000000004</v>
      </c>
      <c r="AZ39" s="2">
        <v>0</v>
      </c>
      <c r="BA39" s="2">
        <v>30000.000000000004</v>
      </c>
      <c r="BB39" s="2">
        <v>30000.000000000004</v>
      </c>
      <c r="BC39" s="5">
        <v>0</v>
      </c>
      <c r="BD39" s="2">
        <v>345000</v>
      </c>
      <c r="BE39" s="4">
        <v>1206.81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Q41"/>
  <sheetViews>
    <sheetView zoomScale="80" zoomScaleNormal="80" workbookViewId="0">
      <selection activeCell="A19" sqref="A19"/>
    </sheetView>
  </sheetViews>
  <sheetFormatPr defaultColWidth="9.140625" defaultRowHeight="14.25" x14ac:dyDescent="0.2"/>
  <cols>
    <col min="1" max="1" width="6.42578125" style="85" bestFit="1" customWidth="1"/>
    <col min="2" max="2" width="14.42578125" style="85" bestFit="1" customWidth="1"/>
    <col min="3" max="4" width="33.140625" style="85" bestFit="1" customWidth="1"/>
    <col min="5" max="6" width="32.7109375" style="85" bestFit="1" customWidth="1"/>
    <col min="7" max="8" width="29.140625" style="85" bestFit="1" customWidth="1"/>
    <col min="9" max="10" width="33.7109375" style="85" bestFit="1" customWidth="1"/>
    <col min="11" max="12" width="36" style="85" bestFit="1" customWidth="1"/>
    <col min="13" max="14" width="36.7109375" style="85" bestFit="1" customWidth="1"/>
    <col min="15" max="16384" width="9.140625" style="85"/>
  </cols>
  <sheetData>
    <row r="1" spans="1:14" x14ac:dyDescent="0.2">
      <c r="A1" s="1" t="s">
        <v>50</v>
      </c>
      <c r="B1" s="1" t="s">
        <v>5</v>
      </c>
    </row>
    <row r="2" spans="1:14" x14ac:dyDescent="0.2">
      <c r="A2" s="1" t="s">
        <v>6</v>
      </c>
      <c r="B2" s="1" t="s">
        <v>5</v>
      </c>
      <c r="C2" s="139" t="s">
        <v>72</v>
      </c>
      <c r="D2" s="139" t="s">
        <v>72</v>
      </c>
      <c r="E2" s="139" t="s">
        <v>73</v>
      </c>
      <c r="F2" s="139" t="s">
        <v>73</v>
      </c>
      <c r="G2" s="139" t="s">
        <v>26</v>
      </c>
      <c r="H2" s="139" t="s">
        <v>26</v>
      </c>
      <c r="I2" s="139" t="s">
        <v>75</v>
      </c>
      <c r="J2" s="139" t="s">
        <v>75</v>
      </c>
      <c r="K2" s="139" t="s">
        <v>76</v>
      </c>
      <c r="L2" s="139" t="s">
        <v>76</v>
      </c>
      <c r="M2" s="139" t="s">
        <v>77</v>
      </c>
      <c r="N2" s="139" t="s">
        <v>77</v>
      </c>
    </row>
    <row r="3" spans="1:14" x14ac:dyDescent="0.2">
      <c r="A3" s="1" t="s">
        <v>7</v>
      </c>
      <c r="B3" s="1" t="s">
        <v>69</v>
      </c>
      <c r="C3" s="1" t="s">
        <v>8</v>
      </c>
      <c r="D3" s="85" t="s">
        <v>22</v>
      </c>
      <c r="E3" s="1" t="s">
        <v>8</v>
      </c>
      <c r="F3" s="85" t="s">
        <v>22</v>
      </c>
      <c r="G3" s="1" t="s">
        <v>8</v>
      </c>
      <c r="H3" s="85" t="s">
        <v>22</v>
      </c>
      <c r="I3" s="1" t="s">
        <v>8</v>
      </c>
      <c r="J3" s="85" t="s">
        <v>22</v>
      </c>
      <c r="K3" s="1" t="s">
        <v>8</v>
      </c>
      <c r="L3" s="85" t="s">
        <v>22</v>
      </c>
      <c r="M3" s="1" t="s">
        <v>8</v>
      </c>
      <c r="N3" s="85" t="s">
        <v>22</v>
      </c>
    </row>
    <row r="4" spans="1:14" x14ac:dyDescent="0.2">
      <c r="A4" s="1" t="s">
        <v>12</v>
      </c>
      <c r="B4" s="1" t="s">
        <v>5</v>
      </c>
      <c r="C4" s="1" t="s">
        <v>5</v>
      </c>
      <c r="D4" s="1" t="s">
        <v>5</v>
      </c>
      <c r="E4" s="1" t="s">
        <v>5</v>
      </c>
      <c r="F4" s="1" t="s">
        <v>5</v>
      </c>
      <c r="G4" s="1" t="s">
        <v>5</v>
      </c>
      <c r="H4" s="1" t="s">
        <v>5</v>
      </c>
      <c r="I4" s="1" t="s">
        <v>5</v>
      </c>
      <c r="J4" s="1" t="s">
        <v>5</v>
      </c>
      <c r="K4" s="1" t="s">
        <v>5</v>
      </c>
      <c r="L4" s="1" t="s">
        <v>5</v>
      </c>
      <c r="M4" s="1" t="s">
        <v>5</v>
      </c>
      <c r="N4" s="1" t="s">
        <v>5</v>
      </c>
    </row>
    <row r="5" spans="1:14" x14ac:dyDescent="0.2">
      <c r="A5" s="1" t="s">
        <v>13</v>
      </c>
      <c r="B5" s="1" t="s">
        <v>5</v>
      </c>
      <c r="C5" s="1" t="s">
        <v>80</v>
      </c>
      <c r="D5" s="1" t="s">
        <v>80</v>
      </c>
      <c r="E5" s="1" t="s">
        <v>80</v>
      </c>
      <c r="F5" s="1" t="s">
        <v>80</v>
      </c>
      <c r="G5" s="1" t="s">
        <v>80</v>
      </c>
      <c r="H5" s="1" t="s">
        <v>80</v>
      </c>
      <c r="I5" s="1" t="s">
        <v>80</v>
      </c>
      <c r="J5" s="1" t="s">
        <v>80</v>
      </c>
      <c r="K5" s="1" t="s">
        <v>80</v>
      </c>
      <c r="L5" s="1" t="s">
        <v>80</v>
      </c>
      <c r="M5" s="1" t="s">
        <v>80</v>
      </c>
      <c r="N5" s="1" t="s">
        <v>80</v>
      </c>
    </row>
    <row r="6" spans="1:14" x14ac:dyDescent="0.2">
      <c r="A6" s="1" t="s">
        <v>14</v>
      </c>
      <c r="B6" s="1" t="s">
        <v>5</v>
      </c>
      <c r="C6" s="1" t="s">
        <v>4</v>
      </c>
      <c r="D6" s="1" t="s">
        <v>4</v>
      </c>
      <c r="E6" s="1" t="s">
        <v>4</v>
      </c>
      <c r="F6" s="1" t="s">
        <v>4</v>
      </c>
      <c r="G6" s="1" t="s">
        <v>4</v>
      </c>
      <c r="H6" s="1" t="s">
        <v>4</v>
      </c>
      <c r="I6" s="1" t="s">
        <v>4</v>
      </c>
      <c r="J6" s="1" t="s">
        <v>4</v>
      </c>
      <c r="K6" s="1" t="s">
        <v>4</v>
      </c>
      <c r="L6" s="1" t="s">
        <v>4</v>
      </c>
      <c r="M6" s="1" t="s">
        <v>4</v>
      </c>
      <c r="N6" s="1" t="s">
        <v>4</v>
      </c>
    </row>
    <row r="7" spans="1:14" x14ac:dyDescent="0.2">
      <c r="A7" s="1" t="s">
        <v>18</v>
      </c>
      <c r="B7" s="1" t="s">
        <v>5</v>
      </c>
      <c r="C7" s="1" t="s">
        <v>19</v>
      </c>
      <c r="D7" s="1" t="s">
        <v>19</v>
      </c>
      <c r="E7" s="1" t="s">
        <v>19</v>
      </c>
      <c r="F7" s="1" t="s">
        <v>19</v>
      </c>
      <c r="G7" s="1" t="s">
        <v>19</v>
      </c>
      <c r="H7" s="1" t="s">
        <v>19</v>
      </c>
      <c r="I7" s="1" t="s">
        <v>19</v>
      </c>
      <c r="J7" s="1" t="s">
        <v>19</v>
      </c>
      <c r="K7" s="1" t="s">
        <v>19</v>
      </c>
      <c r="L7" s="1" t="s">
        <v>19</v>
      </c>
      <c r="M7" s="1" t="s">
        <v>19</v>
      </c>
      <c r="N7" s="1" t="s">
        <v>19</v>
      </c>
    </row>
    <row r="8" spans="1:14" x14ac:dyDescent="0.2">
      <c r="A8" s="85">
        <f>IF('CWMS Data'!A9 = "", "", 'CWMS Data'!A9 - 1)</f>
        <v>1</v>
      </c>
      <c r="B8" s="3">
        <f>IF('CWMS Data'!B9 = "", "", 'CWMS Data'!B9)</f>
        <v>44044</v>
      </c>
      <c r="C8" s="87">
        <f>IF(FTPK!$E7 = "", "", FTPK!$E7)</f>
        <v>2400</v>
      </c>
      <c r="D8" s="87">
        <f>IF(FTPK!$M7 = "", "", FTPK!$M7)</f>
        <v>8000.0000000000009</v>
      </c>
      <c r="E8" s="87">
        <f>IF(GARR!$E7 = "", "", GARR!$E7)</f>
        <v>2500.0000000000005</v>
      </c>
      <c r="F8" s="87">
        <f>IF(GARR!$M7 = "", "", GARR!$O7)</f>
        <v>16000.000000000002</v>
      </c>
      <c r="G8" s="87">
        <f>IF(OAHE!$E7 = "", "", OAHE!$E7)</f>
        <v>1100.0000000000002</v>
      </c>
      <c r="H8" s="87">
        <f>IF(OAHE!$M7 = "", "", OAHE!$M7)</f>
        <v>29000.000000000004</v>
      </c>
      <c r="I8" s="87">
        <f>IF(BEND!$E7 = "", "", BEND!$E7)</f>
        <v>500</v>
      </c>
      <c r="J8" s="87">
        <f>IF(BEND!$M7 = "", "", BEND!$M7)</f>
        <v>26000</v>
      </c>
      <c r="K8" s="87">
        <f>IF(FTRA!$E7 = "", "", FTRA!$E7)</f>
        <v>700</v>
      </c>
      <c r="L8" s="87">
        <f>IF(FTRA!$M7 = "", "", FTRA!$M7)</f>
        <v>19000</v>
      </c>
      <c r="M8" s="87">
        <f>IF(GAPT!$E7 = "", "", GAPT!$E7)</f>
        <v>0</v>
      </c>
      <c r="N8" s="87">
        <f>IF(GAPT!$M7 = "", "", GAPT!$M7)</f>
        <v>29000.000000000004</v>
      </c>
    </row>
    <row r="9" spans="1:14" x14ac:dyDescent="0.2">
      <c r="A9" s="85">
        <f>IF('CWMS Data'!A10 = "", "", 'CWMS Data'!A10 - 1)</f>
        <v>2</v>
      </c>
      <c r="B9" s="3">
        <f>IF('CWMS Data'!B10 = "", "", 'CWMS Data'!B10)</f>
        <v>44045</v>
      </c>
      <c r="C9" s="87">
        <f>IF(FTPK!$E8 = "", "", FTPK!$E8)</f>
        <v>2400</v>
      </c>
      <c r="D9" s="87">
        <f>IF(FTPK!$M8 = "", "", FTPK!$M8)</f>
        <v>8000.0000000000009</v>
      </c>
      <c r="E9" s="87">
        <f>IF(GARR!$E8 = "", "", GARR!$E8)</f>
        <v>2500.0000000000005</v>
      </c>
      <c r="F9" s="87">
        <f>IF(GARR!$M8 = "", "", GARR!$O8)</f>
        <v>16000.000000000002</v>
      </c>
      <c r="G9" s="87">
        <f>IF(OAHE!$E8 = "", "", OAHE!$E8)</f>
        <v>2000</v>
      </c>
      <c r="H9" s="87">
        <f>IF(OAHE!$M8 = "", "", OAHE!$M8)</f>
        <v>29000.000000000004</v>
      </c>
      <c r="I9" s="87">
        <f>IF(BEND!$E8 = "", "", BEND!$E8)</f>
        <v>500</v>
      </c>
      <c r="J9" s="87">
        <f>IF(BEND!$M8 = "", "", BEND!$M8)</f>
        <v>24000</v>
      </c>
      <c r="K9" s="87">
        <f>IF(FTRA!$E8 = "", "", FTRA!$E8)</f>
        <v>800</v>
      </c>
      <c r="L9" s="87">
        <f>IF(FTRA!$M8 = "", "", FTRA!$M8)</f>
        <v>17000</v>
      </c>
      <c r="M9" s="87">
        <f>IF(GAPT!$E8 = "", "", GAPT!$E8)</f>
        <v>100</v>
      </c>
      <c r="N9" s="87">
        <f>IF(GAPT!$M8 = "", "", GAPT!$M8)</f>
        <v>29000.000000000004</v>
      </c>
    </row>
    <row r="10" spans="1:14" x14ac:dyDescent="0.2">
      <c r="A10" s="85">
        <f>IF('CWMS Data'!A11 = "", "", 'CWMS Data'!A11 - 1)</f>
        <v>3</v>
      </c>
      <c r="B10" s="3">
        <f>IF('CWMS Data'!B11 = "", "", 'CWMS Data'!B11)</f>
        <v>44046</v>
      </c>
      <c r="C10" s="87">
        <f>IF(FTPK!$E9 = "", "", FTPK!$E9)</f>
        <v>2400</v>
      </c>
      <c r="D10" s="87">
        <f>IF(FTPK!$M9 = "", "", FTPK!$M9)</f>
        <v>8000.0000000000009</v>
      </c>
      <c r="E10" s="87">
        <f>IF(GARR!$E9 = "", "", GARR!$E9)</f>
        <v>2500.0000000000005</v>
      </c>
      <c r="F10" s="87">
        <f>IF(GARR!$M9 = "", "", GARR!$O9)</f>
        <v>16000.000000000002</v>
      </c>
      <c r="G10" s="87">
        <f>IF(OAHE!$E9 = "", "", OAHE!$E9)</f>
        <v>2200</v>
      </c>
      <c r="H10" s="87">
        <f>IF(OAHE!$M9 = "", "", OAHE!$M9)</f>
        <v>29000.000000000004</v>
      </c>
      <c r="I10" s="87">
        <f>IF(BEND!$E9 = "", "", BEND!$E9)</f>
        <v>500</v>
      </c>
      <c r="J10" s="87">
        <f>IF(BEND!$M9 = "", "", BEND!$M9)</f>
        <v>24000</v>
      </c>
      <c r="K10" s="87">
        <f>IF(FTRA!$E9 = "", "", FTRA!$E9)</f>
        <v>800</v>
      </c>
      <c r="L10" s="87">
        <f>IF(FTRA!$M9 = "", "", FTRA!$M9)</f>
        <v>26000</v>
      </c>
      <c r="M10" s="87">
        <f>IF(GAPT!$E9 = "", "", GAPT!$E9)</f>
        <v>100</v>
      </c>
      <c r="N10" s="87">
        <f>IF(GAPT!$M9 = "", "", GAPT!$M9)</f>
        <v>29000.000000000004</v>
      </c>
    </row>
    <row r="11" spans="1:14" x14ac:dyDescent="0.2">
      <c r="A11" s="85">
        <f>IF('CWMS Data'!A12 = "", "", 'CWMS Data'!A12 - 1)</f>
        <v>4</v>
      </c>
      <c r="B11" s="3">
        <f>IF('CWMS Data'!B12 = "", "", 'CWMS Data'!B12)</f>
        <v>44047</v>
      </c>
      <c r="C11" s="87">
        <f>IF(FTPK!$E10 = "", "", FTPK!$E10)</f>
        <v>1900</v>
      </c>
      <c r="D11" s="87">
        <f>IF(FTPK!$M10 = "", "", FTPK!$M10)</f>
        <v>7000.0000000000009</v>
      </c>
      <c r="E11" s="87">
        <f>IF(GARR!$E10 = "", "", GARR!$E10)</f>
        <v>2500.0000000000005</v>
      </c>
      <c r="F11" s="87">
        <f>IF(GARR!$M10 = "", "", GARR!$O10)</f>
        <v>15000.000000000002</v>
      </c>
      <c r="G11" s="87">
        <f>IF(OAHE!$E10 = "", "", OAHE!$E10)</f>
        <v>2300</v>
      </c>
      <c r="H11" s="87">
        <f>IF(OAHE!$M10 = "", "", OAHE!$M10)</f>
        <v>29000.000000000004</v>
      </c>
      <c r="I11" s="87">
        <f>IF(BEND!$E10 = "", "", BEND!$E10)</f>
        <v>500</v>
      </c>
      <c r="J11" s="87">
        <f>IF(BEND!$M10 = "", "", BEND!$M10)</f>
        <v>26000</v>
      </c>
      <c r="K11" s="87">
        <f>IF(FTRA!$E10 = "", "", FTRA!$E10)</f>
        <v>800</v>
      </c>
      <c r="L11" s="87">
        <f>IF(FTRA!$M10 = "", "", FTRA!$M10)</f>
        <v>31000</v>
      </c>
      <c r="M11" s="87">
        <f>IF(GAPT!$E10 = "", "", GAPT!$E10)</f>
        <v>100</v>
      </c>
      <c r="N11" s="87">
        <f>IF(GAPT!$M10 = "", "", GAPT!$M10)</f>
        <v>30000.000000000004</v>
      </c>
    </row>
    <row r="12" spans="1:14" x14ac:dyDescent="0.2">
      <c r="A12" s="85">
        <f>IF('CWMS Data'!A13 = "", "", 'CWMS Data'!A13 - 1)</f>
        <v>5</v>
      </c>
      <c r="B12" s="3">
        <f>IF('CWMS Data'!B13 = "", "", 'CWMS Data'!B13)</f>
        <v>44048</v>
      </c>
      <c r="C12" s="87">
        <f>IF(FTPK!$E11 = "", "", FTPK!$E11)</f>
        <v>1800.0000000000002</v>
      </c>
      <c r="D12" s="87">
        <f>IF(FTPK!$M11 = "", "", FTPK!$M11)</f>
        <v>7000.0000000000009</v>
      </c>
      <c r="E12" s="87">
        <f>IF(GARR!$E11 = "", "", GARR!$E11)</f>
        <v>2500.0000000000005</v>
      </c>
      <c r="F12" s="87">
        <f>IF(GARR!$M11 = "", "", GARR!$O11)</f>
        <v>15000</v>
      </c>
      <c r="G12" s="87">
        <f>IF(OAHE!$E11 = "", "", OAHE!$E11)</f>
        <v>2400</v>
      </c>
      <c r="H12" s="87">
        <f>IF(OAHE!$M11 = "", "", OAHE!$M11)</f>
        <v>29000.000000000004</v>
      </c>
      <c r="I12" s="87">
        <f>IF(BEND!$E11 = "", "", BEND!$E11)</f>
        <v>500</v>
      </c>
      <c r="J12" s="87">
        <f>IF(BEND!$M11 = "", "", BEND!$M11)</f>
        <v>26000</v>
      </c>
      <c r="K12" s="87">
        <f>IF(FTRA!$E11 = "", "", FTRA!$E11)</f>
        <v>800</v>
      </c>
      <c r="L12" s="87">
        <f>IF(FTRA!$M11 = "", "", FTRA!$M11)</f>
        <v>31000</v>
      </c>
      <c r="M12" s="87">
        <f>IF(GAPT!$E11 = "", "", GAPT!$E11)</f>
        <v>100</v>
      </c>
      <c r="N12" s="87">
        <f>IF(GAPT!$M11 = "", "", GAPT!$M11)</f>
        <v>30000.000000000004</v>
      </c>
    </row>
    <row r="13" spans="1:14" x14ac:dyDescent="0.2">
      <c r="A13" s="85">
        <f>IF('CWMS Data'!A14 = "", "", 'CWMS Data'!A14 - 1)</f>
        <v>6</v>
      </c>
      <c r="B13" s="3">
        <f>IF('CWMS Data'!B14 = "", "", 'CWMS Data'!B14)</f>
        <v>44049</v>
      </c>
      <c r="C13" s="87">
        <f>IF(FTPK!$E12 = "", "", FTPK!$E12)</f>
        <v>2400</v>
      </c>
      <c r="D13" s="87">
        <f>IF(FTPK!$M12 = "", "", FTPK!$M12)</f>
        <v>8000.0000000000009</v>
      </c>
      <c r="E13" s="87">
        <f>IF(GARR!$E12 = "", "", GARR!$E12)</f>
        <v>2500.0000000000005</v>
      </c>
      <c r="F13" s="87">
        <f>IF(GARR!$M12 = "", "", GARR!$O12)</f>
        <v>14000</v>
      </c>
      <c r="G13" s="87">
        <f>IF(OAHE!$E12 = "", "", OAHE!$E12)</f>
        <v>2400</v>
      </c>
      <c r="H13" s="87">
        <f>IF(OAHE!$M12 = "", "", OAHE!$M12)</f>
        <v>29000.000000000004</v>
      </c>
      <c r="I13" s="87">
        <f>IF(BEND!$E12 = "", "", BEND!$E12)</f>
        <v>500</v>
      </c>
      <c r="J13" s="87">
        <f>IF(BEND!$M12 = "", "", BEND!$M12)</f>
        <v>27000.000000000004</v>
      </c>
      <c r="K13" s="87">
        <f>IF(FTRA!$E12 = "", "", FTRA!$E12)</f>
        <v>800</v>
      </c>
      <c r="L13" s="87">
        <f>IF(FTRA!$M12 = "", "", FTRA!$M12)</f>
        <v>31000</v>
      </c>
      <c r="M13" s="87">
        <f>IF(GAPT!$E12 = "", "", GAPT!$E12)</f>
        <v>100</v>
      </c>
      <c r="N13" s="87">
        <f>IF(GAPT!$M12 = "", "", GAPT!$M12)</f>
        <v>30000.000000000004</v>
      </c>
    </row>
    <row r="14" spans="1:14" x14ac:dyDescent="0.2">
      <c r="A14" s="85">
        <f>IF('CWMS Data'!A15 = "", "", 'CWMS Data'!A15 - 1)</f>
        <v>7</v>
      </c>
      <c r="B14" s="3">
        <f>IF('CWMS Data'!B15 = "", "", 'CWMS Data'!B15)</f>
        <v>44050</v>
      </c>
      <c r="C14" s="87">
        <f>IF(FTPK!$E13 = "", "", FTPK!$E13)</f>
        <v>2400</v>
      </c>
      <c r="D14" s="87">
        <f>IF(FTPK!$M13 = "", "", FTPK!$M13)</f>
        <v>8000.0000000000009</v>
      </c>
      <c r="E14" s="87">
        <f>IF(GARR!$E13 = "", "", GARR!$E13)</f>
        <v>2500.0000000000005</v>
      </c>
      <c r="F14" s="87">
        <f>IF(GARR!$M13 = "", "", GARR!$O13)</f>
        <v>14000.000000000002</v>
      </c>
      <c r="G14" s="87">
        <f>IF(OAHE!$E13 = "", "", OAHE!$E13)</f>
        <v>2400</v>
      </c>
      <c r="H14" s="87">
        <f>IF(OAHE!$M13 = "", "", OAHE!$M13)</f>
        <v>29000.000000000004</v>
      </c>
      <c r="I14" s="87">
        <f>IF(BEND!$E13 = "", "", BEND!$E13)</f>
        <v>500</v>
      </c>
      <c r="J14" s="87">
        <f>IF(BEND!$M13 = "", "", BEND!$M13)</f>
        <v>29000.000000000004</v>
      </c>
      <c r="K14" s="87">
        <f>IF(FTRA!$E13 = "", "", FTRA!$E13)</f>
        <v>800</v>
      </c>
      <c r="L14" s="87">
        <f>IF(FTRA!$M13 = "", "", FTRA!$M13)</f>
        <v>30000.000000000004</v>
      </c>
      <c r="M14" s="87">
        <f>IF(GAPT!$E13 = "", "", GAPT!$E13)</f>
        <v>100</v>
      </c>
      <c r="N14" s="87">
        <f>IF(GAPT!$M13 = "", "", GAPT!$M13)</f>
        <v>29000.000000000004</v>
      </c>
    </row>
    <row r="15" spans="1:14" x14ac:dyDescent="0.2">
      <c r="A15" s="85">
        <f>IF('CWMS Data'!A16 = "", "", 'CWMS Data'!A16 - 1)</f>
        <v>8</v>
      </c>
      <c r="B15" s="3">
        <f>IF('CWMS Data'!B16 = "", "", 'CWMS Data'!B16)</f>
        <v>44051</v>
      </c>
      <c r="C15" s="87">
        <f>IF(FTPK!$E14 = "", "", FTPK!$E14)</f>
        <v>2400</v>
      </c>
      <c r="D15" s="87">
        <f>IF(FTPK!$M14 = "", "", FTPK!$M14)</f>
        <v>7000.0000000000009</v>
      </c>
      <c r="E15" s="87">
        <f>IF(GARR!$E14 = "", "", GARR!$E14)</f>
        <v>2500.0000000000005</v>
      </c>
      <c r="F15" s="87">
        <f>IF(GARR!$M14 = "", "", GARR!$O14)</f>
        <v>14000.000000000002</v>
      </c>
      <c r="G15" s="87">
        <f>IF(OAHE!$E14 = "", "", OAHE!$E14)</f>
        <v>2400</v>
      </c>
      <c r="H15" s="87">
        <f>IF(OAHE!$M14 = "", "", OAHE!$M14)</f>
        <v>29000.000000000004</v>
      </c>
      <c r="I15" s="87">
        <f>IF(BEND!$E14 = "", "", BEND!$E14)</f>
        <v>600</v>
      </c>
      <c r="J15" s="87">
        <f>IF(BEND!$M14 = "", "", BEND!$M14)</f>
        <v>26000</v>
      </c>
      <c r="K15" s="87">
        <f>IF(FTRA!$E14 = "", "", FTRA!$E14)</f>
        <v>800</v>
      </c>
      <c r="L15" s="87">
        <f>IF(FTRA!$M14 = "", "", FTRA!$M14)</f>
        <v>19000</v>
      </c>
      <c r="M15" s="87">
        <f>IF(GAPT!$E14 = "", "", GAPT!$E14)</f>
        <v>100</v>
      </c>
      <c r="N15" s="87">
        <f>IF(GAPT!$M14 = "", "", GAPT!$M14)</f>
        <v>30000</v>
      </c>
    </row>
    <row r="16" spans="1:14" x14ac:dyDescent="0.2">
      <c r="A16" s="85">
        <f>IF('CWMS Data'!A17 = "", "", 'CWMS Data'!A17 - 1)</f>
        <v>9</v>
      </c>
      <c r="B16" s="3">
        <f>IF('CWMS Data'!B17 = "", "", 'CWMS Data'!B17)</f>
        <v>44052</v>
      </c>
      <c r="C16" s="87">
        <f>IF(FTPK!$E15 = "", "", FTPK!$E15)</f>
        <v>2400</v>
      </c>
      <c r="D16" s="87">
        <f>IF(FTPK!$M15 = "", "", FTPK!$M15)</f>
        <v>7000.0000000000009</v>
      </c>
      <c r="E16" s="87">
        <f>IF(GARR!$E15 = "", "", GARR!$E15)</f>
        <v>2500.0000000000005</v>
      </c>
      <c r="F16" s="87">
        <f>IF(GARR!$M15 = "", "", GARR!$O15)</f>
        <v>15000.000000000002</v>
      </c>
      <c r="G16" s="87">
        <f>IF(OAHE!$E15 = "", "", OAHE!$E15)</f>
        <v>2400</v>
      </c>
      <c r="H16" s="87">
        <f>IF(OAHE!$M15 = "", "", OAHE!$M15)</f>
        <v>29000.000000000004</v>
      </c>
      <c r="I16" s="87">
        <f>IF(BEND!$E15 = "", "", BEND!$E15)</f>
        <v>600</v>
      </c>
      <c r="J16" s="87">
        <f>IF(BEND!$M15 = "", "", BEND!$M15)</f>
        <v>26000</v>
      </c>
      <c r="K16" s="87">
        <f>IF(FTRA!$E15 = "", "", FTRA!$E15)</f>
        <v>800</v>
      </c>
      <c r="L16" s="87">
        <f>IF(FTRA!$M15 = "", "", FTRA!$M15)</f>
        <v>16000.000000000002</v>
      </c>
      <c r="M16" s="87">
        <f>IF(GAPT!$E15 = "", "", GAPT!$E15)</f>
        <v>100</v>
      </c>
      <c r="N16" s="87">
        <f>IF(GAPT!$M15 = "", "", GAPT!$M15)</f>
        <v>31000</v>
      </c>
    </row>
    <row r="17" spans="1:17" x14ac:dyDescent="0.2">
      <c r="A17" s="85">
        <f>IF('CWMS Data'!A18 = "", "", 'CWMS Data'!A18 - 1)</f>
        <v>10</v>
      </c>
      <c r="B17" s="3">
        <f>IF('CWMS Data'!B18 = "", "", 'CWMS Data'!B18)</f>
        <v>44053</v>
      </c>
      <c r="C17" s="87">
        <f>IF(FTPK!$E16 = "", "", FTPK!$E16)</f>
        <v>1500</v>
      </c>
      <c r="D17" s="87">
        <f>IF(FTPK!$M16 = "", "", FTPK!$M16)</f>
        <v>7000.0000000000009</v>
      </c>
      <c r="E17" s="87">
        <f>IF(GARR!$E16 = "", "", GARR!$E16)</f>
        <v>2500.0000000000005</v>
      </c>
      <c r="F17" s="87">
        <f>IF(GARR!$M16 = "", "", GARR!$O16)</f>
        <v>15000.000000000002</v>
      </c>
      <c r="G17" s="87">
        <f>IF(OAHE!$E16 = "", "", OAHE!$E16)</f>
        <v>2400</v>
      </c>
      <c r="H17" s="87">
        <f>IF(OAHE!$M16 = "", "", OAHE!$M16)</f>
        <v>29000.000000000004</v>
      </c>
      <c r="I17" s="87">
        <f>IF(BEND!$E16 = "", "", BEND!$E16)</f>
        <v>600</v>
      </c>
      <c r="J17" s="87">
        <f>IF(BEND!$M16 = "", "", BEND!$M16)</f>
        <v>25000.000000000004</v>
      </c>
      <c r="K17" s="87">
        <f>IF(FTRA!$E16 = "", "", FTRA!$E16)</f>
        <v>800</v>
      </c>
      <c r="L17" s="87">
        <f>IF(FTRA!$M16 = "", "", FTRA!$M16)</f>
        <v>25000.000000000004</v>
      </c>
      <c r="M17" s="87">
        <f>IF(GAPT!$E16 = "", "", GAPT!$E16)</f>
        <v>100</v>
      </c>
      <c r="N17" s="87">
        <f>IF(GAPT!$M16 = "", "", GAPT!$M16)</f>
        <v>30000.000000000004</v>
      </c>
    </row>
    <row r="18" spans="1:17" x14ac:dyDescent="0.2">
      <c r="A18" s="85">
        <f>IF('CWMS Data'!A19 = "", "", 'CWMS Data'!A19 - 1)</f>
        <v>11</v>
      </c>
      <c r="B18" s="3">
        <f>IF('CWMS Data'!B19 = "", "", 'CWMS Data'!B19)</f>
        <v>44054</v>
      </c>
      <c r="C18" s="87">
        <f>IF(FTPK!$E17 = "", "", FTPK!$E17)</f>
        <v>1800.0000000000002</v>
      </c>
      <c r="D18" s="87">
        <f>IF(FTPK!$M17 = "", "", FTPK!$M17)</f>
        <v>7000.0000000000009</v>
      </c>
      <c r="E18" s="87">
        <f>IF(GARR!$E17 = "", "", GARR!$E17)</f>
        <v>2400</v>
      </c>
      <c r="F18" s="87">
        <f>IF(GARR!$M17 = "", "", GARR!$O17)</f>
        <v>15000.000000000002</v>
      </c>
      <c r="G18" s="87">
        <f>IF(OAHE!$E17 = "", "", OAHE!$E17)</f>
        <v>2400</v>
      </c>
      <c r="H18" s="87">
        <f>IF(OAHE!$M17 = "", "", OAHE!$M17)</f>
        <v>29000.000000000004</v>
      </c>
      <c r="I18" s="87">
        <f>IF(BEND!$E17 = "", "", BEND!$E17)</f>
        <v>600</v>
      </c>
      <c r="J18" s="87">
        <f>IF(BEND!$M17 = "", "", BEND!$M17)</f>
        <v>26000</v>
      </c>
      <c r="K18" s="87">
        <f>IF(FTRA!$E17 = "", "", FTRA!$E17)</f>
        <v>800</v>
      </c>
      <c r="L18" s="87">
        <f>IF(FTRA!$M17 = "", "", FTRA!$M17)</f>
        <v>27000.000000000004</v>
      </c>
      <c r="M18" s="87">
        <f>IF(GAPT!$E17 = "", "", GAPT!$E17)</f>
        <v>100</v>
      </c>
      <c r="N18" s="87">
        <f>IF(GAPT!$M17 = "", "", GAPT!$M17)</f>
        <v>30000.000000000004</v>
      </c>
    </row>
    <row r="19" spans="1:17" x14ac:dyDescent="0.2">
      <c r="A19" s="85">
        <f>IF('CWMS Data'!A20 = "", "", 'CWMS Data'!A20 - 1)</f>
        <v>12</v>
      </c>
      <c r="B19" s="3">
        <f>IF('CWMS Data'!B20 = "", "", 'CWMS Data'!B20)</f>
        <v>44055</v>
      </c>
      <c r="C19" s="87">
        <f>IF(FTPK!$E18 = "", "", FTPK!$E18)</f>
        <v>3000</v>
      </c>
      <c r="D19" s="87">
        <f>IF(FTPK!$M18 = "", "", FTPK!$M18)</f>
        <v>7000.0000000000009</v>
      </c>
      <c r="E19" s="87">
        <f>IF(GARR!$E18 = "", "", GARR!$E18)</f>
        <v>2400</v>
      </c>
      <c r="F19" s="87">
        <f>IF(GARR!$M18 = "", "", GARR!$O18)</f>
        <v>15000.000000000002</v>
      </c>
      <c r="G19" s="87">
        <f>IF(OAHE!$E18 = "", "", OAHE!$E18)</f>
        <v>2400</v>
      </c>
      <c r="H19" s="87">
        <f>IF(OAHE!$M18 = "", "", OAHE!$M18)</f>
        <v>28000.000000000004</v>
      </c>
      <c r="I19" s="87">
        <f>IF(BEND!$E18 = "", "", BEND!$E18)</f>
        <v>600</v>
      </c>
      <c r="J19" s="87">
        <f>IF(BEND!$M18 = "", "", BEND!$M18)</f>
        <v>26000</v>
      </c>
      <c r="K19" s="87">
        <f>IF(FTRA!$E18 = "", "", FTRA!$E18)</f>
        <v>800</v>
      </c>
      <c r="L19" s="87">
        <f>IF(FTRA!$M18 = "", "", FTRA!$M18)</f>
        <v>27000.000000000004</v>
      </c>
      <c r="M19" s="87">
        <f>IF(GAPT!$E18 = "", "", GAPT!$E18)</f>
        <v>100</v>
      </c>
      <c r="N19" s="87">
        <f>IF(GAPT!$M18 = "", "", GAPT!$M18)</f>
        <v>29000.000000000004</v>
      </c>
      <c r="Q19" s="86"/>
    </row>
    <row r="20" spans="1:17" x14ac:dyDescent="0.2">
      <c r="A20" s="85">
        <f>IF('CWMS Data'!A21 = "", "", 'CWMS Data'!A21 - 1)</f>
        <v>13</v>
      </c>
      <c r="B20" s="3">
        <f>IF('CWMS Data'!B21 = "", "", 'CWMS Data'!B21)</f>
        <v>44056</v>
      </c>
      <c r="C20" s="87">
        <f>IF(FTPK!$E19 = "", "", FTPK!$E19)</f>
        <v>3000</v>
      </c>
      <c r="D20" s="87">
        <f>IF(FTPK!$M19 = "", "", FTPK!$M19)</f>
        <v>7000.0000000000009</v>
      </c>
      <c r="E20" s="87">
        <f>IF(GARR!$E19 = "", "", GARR!$E19)</f>
        <v>2400</v>
      </c>
      <c r="F20" s="87">
        <f>IF(GARR!$M19 = "", "", GARR!$O19)</f>
        <v>15000.000000000002</v>
      </c>
      <c r="G20" s="87">
        <f>IF(OAHE!$E19 = "", "", OAHE!$E19)</f>
        <v>2400</v>
      </c>
      <c r="H20" s="87">
        <f>IF(OAHE!$M19 = "", "", OAHE!$M19)</f>
        <v>28000.000000000004</v>
      </c>
      <c r="I20" s="87">
        <f>IF(BEND!$E19 = "", "", BEND!$E19)</f>
        <v>600</v>
      </c>
      <c r="J20" s="87">
        <f>IF(BEND!$M19 = "", "", BEND!$M19)</f>
        <v>26000</v>
      </c>
      <c r="K20" s="87">
        <f>IF(FTRA!$E19 = "", "", FTRA!$E19)</f>
        <v>800</v>
      </c>
      <c r="L20" s="87">
        <f>IF(FTRA!$M19 = "", "", FTRA!$M19)</f>
        <v>29000.000000000004</v>
      </c>
      <c r="M20" s="87">
        <f>IF(GAPT!$E19 = "", "", GAPT!$E19)</f>
        <v>100</v>
      </c>
      <c r="N20" s="87">
        <f>IF(GAPT!$M19 = "", "", GAPT!$M19)</f>
        <v>29000.000000000004</v>
      </c>
      <c r="Q20" s="86"/>
    </row>
    <row r="21" spans="1:17" x14ac:dyDescent="0.2">
      <c r="A21" s="85">
        <f>IF('CWMS Data'!A22 = "", "", 'CWMS Data'!A22 - 1)</f>
        <v>14</v>
      </c>
      <c r="B21" s="3">
        <f>IF('CWMS Data'!B22 = "", "", 'CWMS Data'!B22)</f>
        <v>44057</v>
      </c>
      <c r="C21" s="87">
        <f>IF(FTPK!$E20 = "", "", FTPK!$E20)</f>
        <v>3000</v>
      </c>
      <c r="D21" s="87">
        <f>IF(FTPK!$M20 = "", "", FTPK!$M20)</f>
        <v>6000</v>
      </c>
      <c r="E21" s="87">
        <f>IF(GARR!$E20 = "", "", GARR!$E20)</f>
        <v>2400</v>
      </c>
      <c r="F21" s="87">
        <v>29000</v>
      </c>
      <c r="G21" s="87">
        <f>IF(OAHE!$E20 = "", "", OAHE!$E20)</f>
        <v>2400</v>
      </c>
      <c r="H21" s="87">
        <f>IF(OAHE!$M20 = "", "", OAHE!$M20)</f>
        <v>28000.000000000004</v>
      </c>
      <c r="I21" s="87">
        <f>IF(BEND!$E20 = "", "", BEND!$E20)</f>
        <v>600</v>
      </c>
      <c r="J21" s="87">
        <f>IF(BEND!$M20 = "", "", BEND!$M20)</f>
        <v>25000.000000000004</v>
      </c>
      <c r="K21" s="87">
        <f>IF(FTRA!$E20 = "", "", FTRA!$E20)</f>
        <v>800</v>
      </c>
      <c r="L21" s="87">
        <f>IF(FTRA!$M20 = "", "", FTRA!$M20)</f>
        <v>31000</v>
      </c>
      <c r="M21" s="87">
        <f>IF(GAPT!$E20 = "", "", GAPT!$E20)</f>
        <v>100</v>
      </c>
      <c r="N21" s="87">
        <f>IF(GAPT!$M20 = "", "", GAPT!$M20)</f>
        <v>29000.000000000004</v>
      </c>
      <c r="Q21" s="86"/>
    </row>
    <row r="22" spans="1:17" x14ac:dyDescent="0.2">
      <c r="A22" s="85">
        <f>IF('CWMS Data'!A23 = "", "", 'CWMS Data'!A23 - 1)</f>
        <v>15</v>
      </c>
      <c r="B22" s="3">
        <f>IF('CWMS Data'!B23 = "", "", 'CWMS Data'!B23)</f>
        <v>44058</v>
      </c>
      <c r="C22" s="87">
        <f>IF(FTPK!$E21 = "", "", FTPK!$E21)</f>
        <v>3000</v>
      </c>
      <c r="D22" s="87">
        <f>IF(FTPK!$M21 = "", "", FTPK!$M21)</f>
        <v>6000</v>
      </c>
      <c r="E22" s="87">
        <f>IF(GARR!$E21 = "", "", GARR!$E21)</f>
        <v>2500.0000000000005</v>
      </c>
      <c r="F22" s="87">
        <v>29000</v>
      </c>
      <c r="G22" s="87">
        <f>IF(OAHE!$E21 = "", "", OAHE!$E21)</f>
        <v>2400</v>
      </c>
      <c r="H22" s="87">
        <f>IF(OAHE!$M21 = "", "", OAHE!$M21)</f>
        <v>28000.000000000004</v>
      </c>
      <c r="I22" s="87">
        <f>IF(BEND!$E21 = "", "", BEND!$E21)</f>
        <v>600</v>
      </c>
      <c r="J22" s="87">
        <f>IF(BEND!$M21 = "", "", BEND!$M21)</f>
        <v>19000</v>
      </c>
      <c r="K22" s="87">
        <f>IF(FTRA!$E21 = "", "", FTRA!$E21)</f>
        <v>800</v>
      </c>
      <c r="L22" s="87">
        <f>IF(FTRA!$M21 = "", "", FTRA!$M21)</f>
        <v>21000</v>
      </c>
      <c r="M22" s="87">
        <f>IF(GAPT!$E21 = "", "", GAPT!$E21)</f>
        <v>100</v>
      </c>
      <c r="N22" s="87">
        <f>IF(GAPT!$M21 = "", "", GAPT!$M21)</f>
        <v>29000.000000000004</v>
      </c>
      <c r="Q22" s="86"/>
    </row>
    <row r="23" spans="1:17" x14ac:dyDescent="0.2">
      <c r="A23" s="85">
        <f>IF('CWMS Data'!A24 = "", "", 'CWMS Data'!A24 - 1)</f>
        <v>16</v>
      </c>
      <c r="B23" s="3">
        <f>IF('CWMS Data'!B24 = "", "", 'CWMS Data'!B24)</f>
        <v>44059</v>
      </c>
      <c r="C23" s="87">
        <f>IF(FTPK!$E22 = "", "", FTPK!$E22)</f>
        <v>1800.0000000000002</v>
      </c>
      <c r="D23" s="87">
        <f>IF(FTPK!$M22 = "", "", FTPK!$M22)</f>
        <v>6000</v>
      </c>
      <c r="E23" s="87">
        <f>IF(GARR!$E22 = "", "", GARR!$E22)</f>
        <v>2400</v>
      </c>
      <c r="F23" s="87">
        <f>IF(GARR!$M22 = "", "", GARR!$O22)</f>
        <v>15000</v>
      </c>
      <c r="G23" s="87">
        <f>IF(OAHE!$E22 = "", "", OAHE!$E22)</f>
        <v>2400</v>
      </c>
      <c r="H23" s="87">
        <f>IF(OAHE!$M22 = "", "", OAHE!$M22)</f>
        <v>28000.000000000004</v>
      </c>
      <c r="I23" s="87">
        <f>IF(BEND!$E22 = "", "", BEND!$E22)</f>
        <v>600</v>
      </c>
      <c r="J23" s="87">
        <f>IF(BEND!$M22 = "", "", BEND!$M22)</f>
        <v>21000</v>
      </c>
      <c r="K23" s="87">
        <f>IF(FTRA!$E22 = "", "", FTRA!$E22)</f>
        <v>800</v>
      </c>
      <c r="L23" s="87">
        <f>IF(FTRA!$M22 = "", "", FTRA!$M22)</f>
        <v>16000.000000000002</v>
      </c>
      <c r="M23" s="87">
        <f>IF(GAPT!$E22 = "", "", GAPT!$E22)</f>
        <v>100</v>
      </c>
      <c r="N23" s="87">
        <f>IF(GAPT!$M22 = "", "", GAPT!$M22)</f>
        <v>30000.000000000004</v>
      </c>
      <c r="Q23" s="86"/>
    </row>
    <row r="24" spans="1:17" x14ac:dyDescent="0.2">
      <c r="A24" s="85">
        <f>IF('CWMS Data'!A25 = "", "", 'CWMS Data'!A25 - 1)</f>
        <v>17</v>
      </c>
      <c r="B24" s="3">
        <f>IF('CWMS Data'!B25 = "", "", 'CWMS Data'!B25)</f>
        <v>44060</v>
      </c>
      <c r="C24" s="87">
        <f>IF(FTPK!$E23 = "", "", FTPK!$E23)</f>
        <v>1800.0000000000002</v>
      </c>
      <c r="D24" s="87">
        <f>IF(FTPK!$M23 = "", "", FTPK!$M23)</f>
        <v>6000</v>
      </c>
      <c r="E24" s="87">
        <f>IF(GARR!$E23 = "", "", GARR!$E23)</f>
        <v>2400</v>
      </c>
      <c r="F24" s="87">
        <f>IF(GARR!$M23 = "", "", GARR!$O23)</f>
        <v>15000</v>
      </c>
      <c r="G24" s="87">
        <f>IF(OAHE!$E23 = "", "", OAHE!$E23)</f>
        <v>2400</v>
      </c>
      <c r="H24" s="87">
        <f>IF(OAHE!$M23 = "", "", OAHE!$M23)</f>
        <v>27000.000000000004</v>
      </c>
      <c r="I24" s="87">
        <f>IF(BEND!$E23 = "", "", BEND!$E23)</f>
        <v>600</v>
      </c>
      <c r="J24" s="87">
        <f>IF(BEND!$M23 = "", "", BEND!$M23)</f>
        <v>23000.000000000004</v>
      </c>
      <c r="K24" s="87">
        <f>IF(FTRA!$E23 = "", "", FTRA!$E23)</f>
        <v>800</v>
      </c>
      <c r="L24" s="87">
        <f>IF(FTRA!$M23 = "", "", FTRA!$M23)</f>
        <v>24000</v>
      </c>
      <c r="M24" s="87">
        <f>IF(GAPT!$E23 = "", "", GAPT!$E23)</f>
        <v>100</v>
      </c>
      <c r="N24" s="87">
        <f>IF(GAPT!$M23 = "", "", GAPT!$M23)</f>
        <v>30000.000000000004</v>
      </c>
      <c r="Q24" s="86"/>
    </row>
    <row r="25" spans="1:17" x14ac:dyDescent="0.2">
      <c r="A25" s="85">
        <f>IF('CWMS Data'!A26 = "", "", 'CWMS Data'!A26 - 1)</f>
        <v>18</v>
      </c>
      <c r="B25" s="3">
        <f>IF('CWMS Data'!B26 = "", "", 'CWMS Data'!B26)</f>
        <v>44061</v>
      </c>
      <c r="C25" s="87">
        <f>IF(FTPK!$E24 = "", "", FTPK!$E24)</f>
        <v>1800.0000000000002</v>
      </c>
      <c r="D25" s="87">
        <f>IF(FTPK!$M24 = "", "", FTPK!$M24)</f>
        <v>6000</v>
      </c>
      <c r="E25" s="87">
        <f>IF(GARR!$E24 = "", "", GARR!$E24)</f>
        <v>2400</v>
      </c>
      <c r="F25" s="87">
        <f>IF(GARR!$M24 = "", "", GARR!$O24)</f>
        <v>16000.000000000002</v>
      </c>
      <c r="G25" s="87">
        <f>IF(OAHE!$E24 = "", "", OAHE!$E24)</f>
        <v>2400</v>
      </c>
      <c r="H25" s="87">
        <f>IF(OAHE!$M24 = "", "", OAHE!$M24)</f>
        <v>27000.000000000004</v>
      </c>
      <c r="I25" s="87">
        <f>IF(BEND!$E24 = "", "", BEND!$E24)</f>
        <v>600</v>
      </c>
      <c r="J25" s="87">
        <f>IF(BEND!$M24 = "", "", BEND!$M24)</f>
        <v>26000</v>
      </c>
      <c r="K25" s="87">
        <f>IF(FTRA!$E24 = "", "", FTRA!$E24)</f>
        <v>800</v>
      </c>
      <c r="L25" s="87">
        <f>IF(FTRA!$M24 = "", "", FTRA!$M24)</f>
        <v>25000.000000000004</v>
      </c>
      <c r="M25" s="87">
        <f>IF(GAPT!$E24 = "", "", GAPT!$E24)</f>
        <v>100</v>
      </c>
      <c r="N25" s="87">
        <f>IF(GAPT!$M24 = "", "", GAPT!$M24)</f>
        <v>30000.000000000004</v>
      </c>
    </row>
    <row r="26" spans="1:17" x14ac:dyDescent="0.2">
      <c r="A26" s="85">
        <f>IF('CWMS Data'!A27 = "", "", 'CWMS Data'!A27 - 1)</f>
        <v>19</v>
      </c>
      <c r="B26" s="3">
        <f>IF('CWMS Data'!B27 = "", "", 'CWMS Data'!B27)</f>
        <v>44062</v>
      </c>
      <c r="C26" s="87">
        <f>IF(FTPK!$E25 = "", "", FTPK!$E25)</f>
        <v>1800.0000000000002</v>
      </c>
      <c r="D26" s="87">
        <f>IF(FTPK!$M25 = "", "", FTPK!$M25)</f>
        <v>7000.0000000000009</v>
      </c>
      <c r="E26" s="87">
        <f>IF(GARR!$E25 = "", "", GARR!$E25)</f>
        <v>2400</v>
      </c>
      <c r="F26" s="87">
        <f>IF(GARR!$M25 = "", "", GARR!$O25)</f>
        <v>16000.000000000002</v>
      </c>
      <c r="G26" s="87">
        <f>IF(OAHE!$E25 = "", "", OAHE!$E25)</f>
        <v>2400</v>
      </c>
      <c r="H26" s="87">
        <f>IF(OAHE!$M25 = "", "", OAHE!$M25)</f>
        <v>27000.000000000004</v>
      </c>
      <c r="I26" s="87">
        <f>IF(BEND!$E25 = "", "", BEND!$E25)</f>
        <v>600</v>
      </c>
      <c r="J26" s="87">
        <f>IF(BEND!$M25 = "", "", BEND!$M25)</f>
        <v>26000</v>
      </c>
      <c r="K26" s="87">
        <f>IF(FTRA!$E25 = "", "", FTRA!$E25)</f>
        <v>800</v>
      </c>
      <c r="L26" s="87">
        <f>IF(FTRA!$M25 = "", "", FTRA!$M25)</f>
        <v>26000</v>
      </c>
      <c r="M26" s="87">
        <f>IF(GAPT!$E25 = "", "", GAPT!$E25)</f>
        <v>100</v>
      </c>
      <c r="N26" s="87">
        <f>IF(GAPT!$M25 = "", "", GAPT!$M25)</f>
        <v>29000.000000000004</v>
      </c>
    </row>
    <row r="27" spans="1:17" x14ac:dyDescent="0.2">
      <c r="A27" s="85">
        <f>IF('CWMS Data'!A28 = "", "", 'CWMS Data'!A28 - 1)</f>
        <v>20</v>
      </c>
      <c r="B27" s="3">
        <f>IF('CWMS Data'!B28 = "", "", 'CWMS Data'!B28)</f>
        <v>44063</v>
      </c>
      <c r="C27" s="87">
        <f>IF(FTPK!$E26 = "", "", FTPK!$E26)</f>
        <v>1800.0000000000002</v>
      </c>
      <c r="D27" s="87">
        <f>IF(FTPK!$M26 = "", "", FTPK!$M26)</f>
        <v>7000.0000000000009</v>
      </c>
      <c r="E27" s="87">
        <f>IF(GARR!$E26 = "", "", GARR!$E26)</f>
        <v>2400</v>
      </c>
      <c r="F27" s="87">
        <f>IF(GARR!$M26 = "", "", GARR!$O26)</f>
        <v>16000.000000000002</v>
      </c>
      <c r="G27" s="87">
        <f>IF(OAHE!$E26 = "", "", OAHE!$E26)</f>
        <v>2400</v>
      </c>
      <c r="H27" s="87">
        <f>IF(OAHE!$M26 = "", "", OAHE!$M26)</f>
        <v>27000.000000000004</v>
      </c>
      <c r="I27" s="87">
        <f>IF(BEND!$E26 = "", "", BEND!$E26)</f>
        <v>600</v>
      </c>
      <c r="J27" s="87">
        <f>IF(BEND!$M26 = "", "", BEND!$M26)</f>
        <v>25000.000000000004</v>
      </c>
      <c r="K27" s="87">
        <f>IF(FTRA!$E26 = "", "", FTRA!$E26)</f>
        <v>800</v>
      </c>
      <c r="L27" s="87">
        <f>IF(FTRA!$M26 = "", "", FTRA!$M26)</f>
        <v>29000.000000000004</v>
      </c>
      <c r="M27" s="87">
        <f>IF(GAPT!$E26 = "", "", GAPT!$E26)</f>
        <v>100</v>
      </c>
      <c r="N27" s="87">
        <f>IF(GAPT!$M26 = "", "", GAPT!$M26)</f>
        <v>30000.000000000004</v>
      </c>
    </row>
    <row r="28" spans="1:17" x14ac:dyDescent="0.2">
      <c r="A28" s="85">
        <f>IF('CWMS Data'!A29 = "", "", 'CWMS Data'!A29 - 1)</f>
        <v>21</v>
      </c>
      <c r="B28" s="3">
        <f>IF('CWMS Data'!B29 = "", "", 'CWMS Data'!B29)</f>
        <v>44064</v>
      </c>
      <c r="C28" s="87">
        <f>IF(FTPK!$E27 = "", "", FTPK!$E27)</f>
        <v>1800.0000000000002</v>
      </c>
      <c r="D28" s="87">
        <f>IF(FTPK!$M27 = "", "", FTPK!$M27)</f>
        <v>7000.0000000000009</v>
      </c>
      <c r="E28" s="87">
        <f>IF(GARR!$E27 = "", "", GARR!$E27)</f>
        <v>2400</v>
      </c>
      <c r="F28" s="87">
        <f>IF(GARR!$M27 = "", "", GARR!$O27)</f>
        <v>16000.000000000002</v>
      </c>
      <c r="G28" s="87">
        <f>IF(OAHE!$E27 = "", "", OAHE!$E27)</f>
        <v>2400</v>
      </c>
      <c r="H28" s="87">
        <f>IF(OAHE!$M27 = "", "", OAHE!$M27)</f>
        <v>27000.000000000004</v>
      </c>
      <c r="I28" s="87">
        <f>IF(BEND!$E27 = "", "", BEND!$E27)</f>
        <v>600</v>
      </c>
      <c r="J28" s="87">
        <f>IF(BEND!$M27 = "", "", BEND!$M27)</f>
        <v>25000.000000000004</v>
      </c>
      <c r="K28" s="87">
        <f>IF(FTRA!$E27 = "", "", FTRA!$E27)</f>
        <v>800</v>
      </c>
      <c r="L28" s="87">
        <f>IF(FTRA!$M27 = "", "", FTRA!$M27)</f>
        <v>31000</v>
      </c>
      <c r="M28" s="87">
        <f>IF(GAPT!$E27 = "", "", GAPT!$E27)</f>
        <v>100</v>
      </c>
      <c r="N28" s="87">
        <f>IF(GAPT!$M27 = "", "", GAPT!$M27)</f>
        <v>31000</v>
      </c>
    </row>
    <row r="29" spans="1:17" x14ac:dyDescent="0.2">
      <c r="A29" s="85">
        <f>IF('CWMS Data'!A30 = "", "", 'CWMS Data'!A30 - 1)</f>
        <v>22</v>
      </c>
      <c r="B29" s="3">
        <f>IF('CWMS Data'!B30 = "", "", 'CWMS Data'!B30)</f>
        <v>44065</v>
      </c>
      <c r="C29" s="87">
        <f>IF(FTPK!$E28 = "", "", FTPK!$E28)</f>
        <v>1800.0000000000002</v>
      </c>
      <c r="D29" s="87">
        <f>IF(FTPK!$M28 = "", "", FTPK!$M28)</f>
        <v>7000.0000000000009</v>
      </c>
      <c r="E29" s="87">
        <f>IF(GARR!$E28 = "", "", GARR!$E28)</f>
        <v>2400</v>
      </c>
      <c r="F29" s="87">
        <f>IF(GARR!$M28 = "", "", GARR!$O28)</f>
        <v>16000.000000000002</v>
      </c>
      <c r="G29" s="87">
        <f>IF(OAHE!$E28 = "", "", OAHE!$E28)</f>
        <v>2400</v>
      </c>
      <c r="H29" s="87">
        <f>IF(OAHE!$M28 = "", "", OAHE!$M28)</f>
        <v>27000.000000000004</v>
      </c>
      <c r="I29" s="87">
        <f>IF(BEND!$E28 = "", "", BEND!$E28)</f>
        <v>600</v>
      </c>
      <c r="J29" s="87">
        <f>IF(BEND!$M28 = "", "", BEND!$M28)</f>
        <v>24000</v>
      </c>
      <c r="K29" s="87">
        <f>IF(FTRA!$E28 = "", "", FTRA!$E28)</f>
        <v>800</v>
      </c>
      <c r="L29" s="87">
        <f>IF(FTRA!$M28 = "", "", FTRA!$M28)</f>
        <v>18000</v>
      </c>
      <c r="M29" s="87">
        <f>IF(GAPT!$E28 = "", "", GAPT!$E28)</f>
        <v>100</v>
      </c>
      <c r="N29" s="87">
        <f>IF(GAPT!$M28 = "", "", GAPT!$M28)</f>
        <v>30000.000000000004</v>
      </c>
    </row>
    <row r="30" spans="1:17" x14ac:dyDescent="0.2">
      <c r="A30" s="85">
        <f>IF('CWMS Data'!A31 = "", "", 'CWMS Data'!A31 - 1)</f>
        <v>23</v>
      </c>
      <c r="B30" s="3">
        <f>IF('CWMS Data'!B31 = "", "", 'CWMS Data'!B31)</f>
        <v>44066</v>
      </c>
      <c r="C30" s="87">
        <f>IF(FTPK!$E29 = "", "", FTPK!$E29)</f>
        <v>1800.0000000000002</v>
      </c>
      <c r="D30" s="87">
        <f>IF(FTPK!$M29 = "", "", FTPK!$M29)</f>
        <v>7000.0000000000009</v>
      </c>
      <c r="E30" s="87">
        <f>IF(GARR!$E29 = "", "", GARR!$E29)</f>
        <v>2400</v>
      </c>
      <c r="F30" s="87">
        <f>IF(GARR!$M29 = "", "", GARR!$O29)</f>
        <v>15000.000000000002</v>
      </c>
      <c r="G30" s="87">
        <f>IF(OAHE!$E29 = "", "", OAHE!$E29)</f>
        <v>2400</v>
      </c>
      <c r="H30" s="87">
        <f>IF(OAHE!$M29 = "", "", OAHE!$M29)</f>
        <v>27000.000000000004</v>
      </c>
      <c r="I30" s="87">
        <f>IF(BEND!$E29 = "", "", BEND!$E29)</f>
        <v>600</v>
      </c>
      <c r="J30" s="87">
        <f>IF(BEND!$M29 = "", "", BEND!$M29)</f>
        <v>21000</v>
      </c>
      <c r="K30" s="87">
        <f>IF(FTRA!$E29 = "", "", FTRA!$E29)</f>
        <v>700</v>
      </c>
      <c r="L30" s="87">
        <f>IF(FTRA!$M29 = "", "", FTRA!$M29)</f>
        <v>13000</v>
      </c>
      <c r="M30" s="87">
        <f>IF(GAPT!$E29 = "", "", GAPT!$E29)</f>
        <v>100</v>
      </c>
      <c r="N30" s="87">
        <f>IF(GAPT!$M29 = "", "", GAPT!$M29)</f>
        <v>30000.000000000004</v>
      </c>
    </row>
    <row r="31" spans="1:17" x14ac:dyDescent="0.2">
      <c r="A31" s="85">
        <f>IF('CWMS Data'!A32 = "", "", 'CWMS Data'!A32 - 1)</f>
        <v>24</v>
      </c>
      <c r="B31" s="3">
        <f>IF('CWMS Data'!B32 = "", "", 'CWMS Data'!B32)</f>
        <v>44067</v>
      </c>
      <c r="C31" s="87">
        <f>IF(FTPK!$E30 = "", "", FTPK!$E30)</f>
        <v>2400</v>
      </c>
      <c r="D31" s="87">
        <f>IF(FTPK!$M30 = "", "", FTPK!$M30)</f>
        <v>7000.0000000000009</v>
      </c>
      <c r="E31" s="87">
        <f>IF(GARR!$E30 = "", "", GARR!$E30)</f>
        <v>2400</v>
      </c>
      <c r="F31" s="87">
        <f>IF(GARR!$M30 = "", "", GARR!$O30)</f>
        <v>14000.000000000002</v>
      </c>
      <c r="G31" s="87">
        <f>IF(OAHE!$E30 = "", "", OAHE!$E30)</f>
        <v>2400</v>
      </c>
      <c r="H31" s="87">
        <f>IF(OAHE!$M30 = "", "", OAHE!$M30)</f>
        <v>27000.000000000004</v>
      </c>
      <c r="I31" s="87">
        <f>IF(BEND!$E30 = "", "", BEND!$E30)</f>
        <v>600</v>
      </c>
      <c r="J31" s="87">
        <f>IF(BEND!$M30 = "", "", BEND!$M30)</f>
        <v>24000</v>
      </c>
      <c r="K31" s="87">
        <f>IF(FTRA!$E30 = "", "", FTRA!$E30)</f>
        <v>700</v>
      </c>
      <c r="L31" s="87">
        <f>IF(FTRA!$M30 = "", "", FTRA!$M30)</f>
        <v>23000.000000000004</v>
      </c>
      <c r="M31" s="87">
        <f>IF(GAPT!$E30 = "", "", GAPT!$E30)</f>
        <v>100</v>
      </c>
      <c r="N31" s="87">
        <f>IF(GAPT!$M30 = "", "", GAPT!$M30)</f>
        <v>30000.000000000004</v>
      </c>
    </row>
    <row r="32" spans="1:17" x14ac:dyDescent="0.2">
      <c r="A32" s="85">
        <f>IF('CWMS Data'!A33 = "", "", 'CWMS Data'!A33 - 1)</f>
        <v>25</v>
      </c>
      <c r="B32" s="3">
        <f>IF('CWMS Data'!B33 = "", "", 'CWMS Data'!B33)</f>
        <v>44068</v>
      </c>
      <c r="C32" s="87">
        <f>IF(FTPK!$E31 = "", "", FTPK!$E31)</f>
        <v>1800.0000000000002</v>
      </c>
      <c r="D32" s="87">
        <f>IF(FTPK!$M31 = "", "", FTPK!$M31)</f>
        <v>7000.0000000000009</v>
      </c>
      <c r="E32" s="87">
        <f>IF(GARR!$E31 = "", "", GARR!$E31)</f>
        <v>2400</v>
      </c>
      <c r="F32" s="87">
        <f>IF(GARR!$M31 = "", "", GARR!$O31)</f>
        <v>14000.000000000002</v>
      </c>
      <c r="G32" s="87">
        <f>IF(OAHE!$E31 = "", "", OAHE!$E31)</f>
        <v>2400</v>
      </c>
      <c r="H32" s="87">
        <f>IF(OAHE!$M31 = "", "", OAHE!$M31)</f>
        <v>28000.000000000004</v>
      </c>
      <c r="I32" s="87">
        <f>IF(BEND!$E31 = "", "", BEND!$E31)</f>
        <v>600</v>
      </c>
      <c r="J32" s="87">
        <f>IF(BEND!$M31 = "", "", BEND!$M31)</f>
        <v>25000.000000000004</v>
      </c>
      <c r="K32" s="87">
        <f>IF(FTRA!$E31 = "", "", FTRA!$E31)</f>
        <v>700</v>
      </c>
      <c r="L32" s="87">
        <f>IF(FTRA!$M31 = "", "", FTRA!$M31)</f>
        <v>27000.000000000004</v>
      </c>
      <c r="M32" s="87">
        <f>IF(GAPT!$E31 = "", "", GAPT!$E31)</f>
        <v>100</v>
      </c>
      <c r="N32" s="87">
        <f>IF(GAPT!$M31 = "", "", GAPT!$M31)</f>
        <v>30000.000000000004</v>
      </c>
    </row>
    <row r="33" spans="1:14" x14ac:dyDescent="0.2">
      <c r="A33" s="85">
        <f>IF('CWMS Data'!A34 = "", "", 'CWMS Data'!A34 - 1)</f>
        <v>26</v>
      </c>
      <c r="B33" s="3">
        <f>IF('CWMS Data'!B34 = "", "", 'CWMS Data'!B34)</f>
        <v>44069</v>
      </c>
      <c r="C33" s="87">
        <f>IF(FTPK!$E32 = "", "", FTPK!$E32)</f>
        <v>2400</v>
      </c>
      <c r="D33" s="87">
        <f>IF(FTPK!$M32 = "", "", FTPK!$M32)</f>
        <v>7000.0000000000009</v>
      </c>
      <c r="E33" s="87">
        <f>IF(GARR!$E32 = "", "", GARR!$E32)</f>
        <v>2400</v>
      </c>
      <c r="F33" s="87">
        <f>IF(GARR!$M32 = "", "", GARR!$O32)</f>
        <v>14000.000000000002</v>
      </c>
      <c r="G33" s="87">
        <f>IF(OAHE!$E32 = "", "", OAHE!$E32)</f>
        <v>2400</v>
      </c>
      <c r="H33" s="87">
        <f>IF(OAHE!$M32 = "", "", OAHE!$M32)</f>
        <v>28000.000000000004</v>
      </c>
      <c r="I33" s="87">
        <f>IF(BEND!$E32 = "", "", BEND!$E32)</f>
        <v>600</v>
      </c>
      <c r="J33" s="87">
        <f>IF(BEND!$M32 = "", "", BEND!$M32)</f>
        <v>25000.000000000004</v>
      </c>
      <c r="K33" s="87">
        <f>IF(FTRA!$E32 = "", "", FTRA!$E32)</f>
        <v>700</v>
      </c>
      <c r="L33" s="87">
        <f>IF(FTRA!$M32 = "", "", FTRA!$M32)</f>
        <v>27000.000000000004</v>
      </c>
      <c r="M33" s="87">
        <f>IF(GAPT!$E32 = "", "", GAPT!$E32)</f>
        <v>100</v>
      </c>
      <c r="N33" s="87">
        <f>IF(GAPT!$M32 = "", "", GAPT!$M32)</f>
        <v>31000</v>
      </c>
    </row>
    <row r="34" spans="1:14" x14ac:dyDescent="0.2">
      <c r="A34" s="85">
        <f>IF('CWMS Data'!A35 = "", "", 'CWMS Data'!A35 - 1)</f>
        <v>27</v>
      </c>
      <c r="B34" s="3">
        <f>IF('CWMS Data'!B35 = "", "", 'CWMS Data'!B35)</f>
        <v>44070</v>
      </c>
      <c r="C34" s="87">
        <f>IF(FTPK!$E33 = "", "", FTPK!$E33)</f>
        <v>2400</v>
      </c>
      <c r="D34" s="87">
        <f>IF(FTPK!$M33 = "", "", FTPK!$M33)</f>
        <v>7000.0000000000009</v>
      </c>
      <c r="E34" s="87">
        <f>IF(GARR!$E33 = "", "", GARR!$E33)</f>
        <v>2400</v>
      </c>
      <c r="F34" s="87">
        <f>IF(GARR!$M33 = "", "", GARR!$O33)</f>
        <v>14000.000000000002</v>
      </c>
      <c r="G34" s="87">
        <f>IF(OAHE!$E33 = "", "", OAHE!$E33)</f>
        <v>2400</v>
      </c>
      <c r="H34" s="87">
        <f>IF(OAHE!$M33 = "", "", OAHE!$M33)</f>
        <v>28000.000000000004</v>
      </c>
      <c r="I34" s="87">
        <f>IF(BEND!$E33 = "", "", BEND!$E33)</f>
        <v>600</v>
      </c>
      <c r="J34" s="87">
        <f>IF(BEND!$M33 = "", "", BEND!$M33)</f>
        <v>27000.000000000004</v>
      </c>
      <c r="K34" s="87">
        <f>IF(FTRA!$E33 = "", "", FTRA!$E33)</f>
        <v>700</v>
      </c>
      <c r="L34" s="87">
        <f>IF(FTRA!$M33 = "", "", FTRA!$M33)</f>
        <v>30000.000000000004</v>
      </c>
      <c r="M34" s="87">
        <f>IF(GAPT!$E33 = "", "", GAPT!$E33)</f>
        <v>100</v>
      </c>
      <c r="N34" s="87">
        <f>IF(GAPT!$M33 = "", "", GAPT!$M33)</f>
        <v>31000</v>
      </c>
    </row>
    <row r="35" spans="1:14" x14ac:dyDescent="0.2">
      <c r="A35" s="85">
        <f>IF('CWMS Data'!A36 = "", "", 'CWMS Data'!A36 - 1)</f>
        <v>28</v>
      </c>
      <c r="B35" s="3">
        <f>IF('CWMS Data'!B36 = "", "", 'CWMS Data'!B36)</f>
        <v>44071</v>
      </c>
      <c r="C35" s="87">
        <f>IF(FTPK!$E34 = "", "", FTPK!$E34)</f>
        <v>1800.0000000000002</v>
      </c>
      <c r="D35" s="87">
        <f>IF(FTPK!$M34 = "", "", FTPK!$M34)</f>
        <v>6000</v>
      </c>
      <c r="E35" s="87">
        <f>IF(GARR!$E34 = "", "", GARR!$E34)</f>
        <v>2400</v>
      </c>
      <c r="F35" s="87">
        <f>IF(GARR!$M34 = "", "", GARR!$O34)</f>
        <v>14000.000000000002</v>
      </c>
      <c r="G35" s="87">
        <f>IF(OAHE!$E34 = "", "", OAHE!$E34)</f>
        <v>2400</v>
      </c>
      <c r="H35" s="87">
        <f>IF(OAHE!$M34 = "", "", OAHE!$M34)</f>
        <v>28000.000000000004</v>
      </c>
      <c r="I35" s="87">
        <f>IF(BEND!$E34 = "", "", BEND!$E34)</f>
        <v>600</v>
      </c>
      <c r="J35" s="87">
        <f>IF(BEND!$M34 = "", "", BEND!$M34)</f>
        <v>27000.000000000004</v>
      </c>
      <c r="K35" s="87">
        <f>IF(FTRA!$E34 = "", "", FTRA!$E34)</f>
        <v>700</v>
      </c>
      <c r="L35" s="87">
        <f>IF(FTRA!$M34 = "", "", FTRA!$M34)</f>
        <v>31000</v>
      </c>
      <c r="M35" s="87">
        <f>IF(GAPT!$E34 = "", "", GAPT!$E34)</f>
        <v>100</v>
      </c>
      <c r="N35" s="87">
        <f>IF(GAPT!$M34 = "", "", GAPT!$M34)</f>
        <v>31000</v>
      </c>
    </row>
    <row r="36" spans="1:14" x14ac:dyDescent="0.2">
      <c r="A36" s="85">
        <f>IF('CWMS Data'!A37 = "", "", 'CWMS Data'!A37 - 1)</f>
        <v>29</v>
      </c>
      <c r="B36" s="3">
        <f>IF('CWMS Data'!B37 = "", "", 'CWMS Data'!B37)</f>
        <v>44072</v>
      </c>
      <c r="C36" s="87">
        <f>IF(FTPK!$E35 = "", "", FTPK!$E35)</f>
        <v>2400</v>
      </c>
      <c r="D36" s="87">
        <f>IF(FTPK!$M35 = "", "", FTPK!$M35)</f>
        <v>7000.0000000000009</v>
      </c>
      <c r="E36" s="87">
        <f>IF(GARR!$E35 = "", "", GARR!$E35)</f>
        <v>2400</v>
      </c>
      <c r="F36" s="87">
        <f>IF(GARR!$M35 = "", "", GARR!$O35)</f>
        <v>14000.000000000002</v>
      </c>
      <c r="G36" s="87">
        <f>IF(OAHE!$E35 = "", "", OAHE!$E35)</f>
        <v>2400</v>
      </c>
      <c r="H36" s="87">
        <f>IF(OAHE!$M35 = "", "", OAHE!$M35)</f>
        <v>28000.000000000004</v>
      </c>
      <c r="I36" s="87">
        <f>IF(BEND!$E35 = "", "", BEND!$E35)</f>
        <v>600</v>
      </c>
      <c r="J36" s="87">
        <f>IF(BEND!$M35 = "", "", BEND!$M35)</f>
        <v>26000</v>
      </c>
      <c r="K36" s="87">
        <f>IF(FTRA!$E35 = "", "", FTRA!$E35)</f>
        <v>700</v>
      </c>
      <c r="L36" s="87">
        <f>IF(FTRA!$M35 = "", "", FTRA!$M35)</f>
        <v>21000</v>
      </c>
      <c r="M36" s="87">
        <f>IF(GAPT!$E35 = "", "", GAPT!$E35)</f>
        <v>100</v>
      </c>
      <c r="N36" s="87">
        <f>IF(GAPT!$M35 = "", "", GAPT!$M35)</f>
        <v>30000.000000000004</v>
      </c>
    </row>
    <row r="37" spans="1:14" x14ac:dyDescent="0.2">
      <c r="A37" s="85">
        <f>IF('CWMS Data'!A38 = "", "", 'CWMS Data'!A38 - 1)</f>
        <v>30</v>
      </c>
      <c r="B37" s="3">
        <f>IF('CWMS Data'!B38 = "", "", 'CWMS Data'!B38)</f>
        <v>44073</v>
      </c>
      <c r="C37" s="87">
        <f>IF(FTPK!$E36 = "", "", FTPK!$E36)</f>
        <v>2400</v>
      </c>
      <c r="D37" s="87">
        <f>IF(FTPK!$M36 = "", "", FTPK!$M36)</f>
        <v>7000.0000000000009</v>
      </c>
      <c r="E37" s="87">
        <f>IF(GARR!$E36 = "", "", GARR!$E36)</f>
        <v>2400</v>
      </c>
      <c r="F37" s="87">
        <f>IF(GARR!$M36 = "", "", GARR!$O36)</f>
        <v>14000.000000000002</v>
      </c>
      <c r="G37" s="87">
        <f>IF(OAHE!$E36 = "", "", OAHE!$E36)</f>
        <v>2400</v>
      </c>
      <c r="H37" s="87">
        <f>IF(OAHE!$M36 = "", "", OAHE!$M36)</f>
        <v>28000.000000000004</v>
      </c>
      <c r="I37" s="87">
        <f>IF(BEND!$E36 = "", "", BEND!$E36)</f>
        <v>600</v>
      </c>
      <c r="J37" s="87">
        <f>IF(BEND!$M36 = "", "", BEND!$M36)</f>
        <v>24000</v>
      </c>
      <c r="K37" s="87">
        <f>IF(FTRA!$E36 = "", "", FTRA!$E36)</f>
        <v>700</v>
      </c>
      <c r="L37" s="87">
        <f>IF(FTRA!$M36 = "", "", FTRA!$M36)</f>
        <v>18000</v>
      </c>
      <c r="M37" s="87">
        <f>IF(GAPT!$E36 = "", "", GAPT!$E36)</f>
        <v>100</v>
      </c>
      <c r="N37" s="87">
        <f>IF(GAPT!$M36 = "", "", GAPT!$M36)</f>
        <v>30000.000000000004</v>
      </c>
    </row>
    <row r="38" spans="1:14" x14ac:dyDescent="0.2">
      <c r="A38" s="85">
        <f>IF('CWMS Data'!A39 = "", "", 'CWMS Data'!A39 - 1)</f>
        <v>31</v>
      </c>
      <c r="B38" s="3">
        <f>IF('CWMS Data'!B39 = "", "", 'CWMS Data'!B39)</f>
        <v>44074</v>
      </c>
      <c r="C38" s="87">
        <f>IF(FTPK!$E37 = "", "", FTPK!$E37)</f>
        <v>1500</v>
      </c>
      <c r="D38" s="87">
        <f>IF(FTPK!$M37 = "", "", FTPK!$M37)</f>
        <v>7000.0000000000009</v>
      </c>
      <c r="E38" s="87">
        <f>IF(GARR!$E37 = "", "", GARR!$E37)</f>
        <v>2400</v>
      </c>
      <c r="F38" s="87">
        <f>IF(GARR!$M37 = "", "", GARR!$O37)</f>
        <v>14000.000000000002</v>
      </c>
      <c r="G38" s="87">
        <f>IF(OAHE!$E37 = "", "", OAHE!$E37)</f>
        <v>2400</v>
      </c>
      <c r="H38" s="87">
        <f>IF(OAHE!$M37 = "", "", OAHE!$M37)</f>
        <v>28000.000000000004</v>
      </c>
      <c r="I38" s="87">
        <f>IF(BEND!$E37 = "", "", BEND!$E37)</f>
        <v>600</v>
      </c>
      <c r="J38" s="87">
        <f>IF(BEND!$M37 = "", "", BEND!$M37)</f>
        <v>24000</v>
      </c>
      <c r="K38" s="87">
        <f>IF(FTRA!$E37 = "", "", FTRA!$E37)</f>
        <v>700</v>
      </c>
      <c r="L38" s="87">
        <f>IF(FTRA!$M37 = "", "", FTRA!$M37)</f>
        <v>24000</v>
      </c>
      <c r="M38" s="87">
        <f>IF(GAPT!$E37 = "", "", GAPT!$E37)</f>
        <v>100</v>
      </c>
      <c r="N38" s="87">
        <f>IF(GAPT!$M37 = "", "", GAPT!$M37)</f>
        <v>30000.000000000004</v>
      </c>
    </row>
    <row r="40" spans="1:14" x14ac:dyDescent="0.2">
      <c r="A40" s="86"/>
    </row>
    <row r="41" spans="1:14" x14ac:dyDescent="0.2">
      <c r="A41" s="86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277"/>
  <sheetViews>
    <sheetView topLeftCell="A10" zoomScaleNormal="100" workbookViewId="0">
      <selection activeCell="G25" sqref="G25"/>
    </sheetView>
  </sheetViews>
  <sheetFormatPr defaultColWidth="9.140625" defaultRowHeight="15" x14ac:dyDescent="0.25"/>
  <cols>
    <col min="6" max="6" width="12.42578125" customWidth="1"/>
    <col min="7" max="7" width="9.85546875" customWidth="1"/>
    <col min="11" max="11" width="10.5703125" customWidth="1"/>
    <col min="12" max="12" width="10.7109375" customWidth="1"/>
  </cols>
  <sheetData>
    <row r="1" spans="1:14" ht="15.75" customHeight="1" x14ac:dyDescent="0.25">
      <c r="A1" s="91" t="s">
        <v>43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</row>
    <row r="2" spans="1:14" ht="15.75" customHeight="1" x14ac:dyDescent="0.25">
      <c r="A2" s="91" t="s">
        <v>63</v>
      </c>
      <c r="B2" s="91"/>
      <c r="C2" s="91"/>
      <c r="D2" s="91"/>
      <c r="E2" s="91"/>
      <c r="F2" s="91" t="s">
        <v>36</v>
      </c>
      <c r="G2" s="91"/>
      <c r="H2" s="91"/>
      <c r="I2" s="91"/>
      <c r="J2" s="91"/>
      <c r="K2" s="91"/>
      <c r="L2" s="91"/>
      <c r="M2" s="91"/>
    </row>
    <row r="3" spans="1:14" ht="15.75" customHeight="1" x14ac:dyDescent="0.25">
      <c r="A3" s="83" t="s">
        <v>52</v>
      </c>
      <c r="B3" s="83"/>
      <c r="C3" s="83"/>
      <c r="D3" s="83"/>
      <c r="E3" s="83"/>
      <c r="F3" s="92">
        <v>44044</v>
      </c>
      <c r="G3" s="92"/>
      <c r="H3" s="92"/>
      <c r="I3" s="93" t="s">
        <v>35</v>
      </c>
      <c r="J3" s="94"/>
      <c r="K3" s="94"/>
      <c r="L3" s="94"/>
      <c r="M3" s="94"/>
    </row>
    <row r="4" spans="1:14" ht="15" customHeight="1" x14ac:dyDescent="0.25">
      <c r="A4" s="95"/>
      <c r="B4" s="95"/>
      <c r="C4" s="95"/>
      <c r="D4" s="83" t="s">
        <v>56</v>
      </c>
      <c r="E4" s="83"/>
      <c r="F4" s="83"/>
      <c r="G4" s="83" t="s">
        <v>34</v>
      </c>
      <c r="H4" s="83"/>
      <c r="I4" s="83"/>
      <c r="J4" s="83"/>
      <c r="K4" s="83"/>
      <c r="L4" s="83"/>
      <c r="M4" s="83"/>
    </row>
    <row r="5" spans="1:14" ht="15" customHeight="1" x14ac:dyDescent="0.25">
      <c r="A5" s="96">
        <v>44044</v>
      </c>
      <c r="B5" s="83" t="s">
        <v>27</v>
      </c>
      <c r="C5" s="94"/>
      <c r="D5" s="82" t="s">
        <v>57</v>
      </c>
      <c r="E5" s="82" t="s">
        <v>58</v>
      </c>
      <c r="F5" s="94"/>
      <c r="G5" s="83" t="s">
        <v>28</v>
      </c>
      <c r="H5" s="83"/>
      <c r="I5" s="83"/>
      <c r="J5" s="83"/>
      <c r="K5" s="83"/>
      <c r="L5" s="83"/>
      <c r="M5" s="82" t="s">
        <v>29</v>
      </c>
    </row>
    <row r="6" spans="1:14" ht="15" customHeight="1" x14ac:dyDescent="0.25">
      <c r="A6" s="97">
        <v>44044</v>
      </c>
      <c r="B6" s="83" t="s">
        <v>42</v>
      </c>
      <c r="C6" s="94"/>
      <c r="D6" s="81" t="s">
        <v>40</v>
      </c>
      <c r="E6" s="81" t="s">
        <v>41</v>
      </c>
      <c r="F6" s="60"/>
      <c r="G6" s="81" t="s">
        <v>37</v>
      </c>
      <c r="H6" s="81"/>
      <c r="I6" s="81" t="s">
        <v>38</v>
      </c>
      <c r="J6" s="81"/>
      <c r="K6" s="81" t="s">
        <v>39</v>
      </c>
      <c r="L6" s="81"/>
      <c r="M6" s="81"/>
    </row>
    <row r="7" spans="1:14" ht="15" customHeight="1" x14ac:dyDescent="0.25">
      <c r="A7" s="98">
        <v>44044</v>
      </c>
      <c r="B7" s="32">
        <v>1207.25</v>
      </c>
      <c r="C7" s="14" t="s">
        <v>65</v>
      </c>
      <c r="D7" s="32">
        <v>0.2</v>
      </c>
      <c r="E7" s="84">
        <v>0</v>
      </c>
      <c r="F7" s="14" t="s">
        <v>66</v>
      </c>
      <c r="G7" s="84">
        <v>30100</v>
      </c>
      <c r="H7" s="14" t="s">
        <v>65</v>
      </c>
      <c r="I7" s="84">
        <v>0</v>
      </c>
      <c r="J7" s="14" t="s">
        <v>66</v>
      </c>
      <c r="K7" s="84">
        <v>30100</v>
      </c>
      <c r="L7" s="14" t="s">
        <v>65</v>
      </c>
      <c r="M7" s="84">
        <v>29000.000000000004</v>
      </c>
      <c r="N7" s="14" t="s">
        <v>66</v>
      </c>
    </row>
    <row r="8" spans="1:14" ht="15" customHeight="1" x14ac:dyDescent="0.25">
      <c r="A8" s="98">
        <v>44045</v>
      </c>
      <c r="B8" s="32">
        <v>1207.0999999999999</v>
      </c>
      <c r="C8" s="14"/>
      <c r="D8" s="32">
        <v>0.2</v>
      </c>
      <c r="E8" s="84">
        <v>100</v>
      </c>
      <c r="F8" s="14" t="s">
        <v>65</v>
      </c>
      <c r="G8" s="84">
        <v>30000.000000000004</v>
      </c>
      <c r="H8" s="14"/>
      <c r="I8" s="84">
        <v>0</v>
      </c>
      <c r="J8" s="14"/>
      <c r="K8" s="84">
        <v>30000.000000000004</v>
      </c>
      <c r="L8" s="14"/>
      <c r="M8" s="84">
        <v>29000.000000000004</v>
      </c>
      <c r="N8" s="14"/>
    </row>
    <row r="9" spans="1:14" ht="15" customHeight="1" x14ac:dyDescent="0.25">
      <c r="A9" s="98">
        <v>44046</v>
      </c>
      <c r="B9" s="32">
        <v>1207.1199999999997</v>
      </c>
      <c r="C9" s="14"/>
      <c r="D9" s="32">
        <v>0.6</v>
      </c>
      <c r="E9" s="84">
        <v>100</v>
      </c>
      <c r="F9" s="14"/>
      <c r="G9" s="84">
        <v>22500.000000000004</v>
      </c>
      <c r="H9" s="14"/>
      <c r="I9" s="84">
        <v>7400.0000000000009</v>
      </c>
      <c r="J9" s="14"/>
      <c r="K9" s="84">
        <v>29900.000000000004</v>
      </c>
      <c r="L9" s="14" t="s">
        <v>66</v>
      </c>
      <c r="M9" s="84">
        <v>29000.000000000004</v>
      </c>
      <c r="N9" s="14"/>
    </row>
    <row r="10" spans="1:14" ht="15" customHeight="1" x14ac:dyDescent="0.25">
      <c r="A10" s="98">
        <v>44047</v>
      </c>
      <c r="B10" s="32">
        <v>1207.05</v>
      </c>
      <c r="C10" s="14"/>
      <c r="D10" s="32">
        <v>0.3</v>
      </c>
      <c r="E10" s="84">
        <v>100</v>
      </c>
      <c r="F10" s="14"/>
      <c r="G10" s="84">
        <v>19400</v>
      </c>
      <c r="H10" s="14" t="s">
        <v>66</v>
      </c>
      <c r="I10" s="84">
        <v>10600.000000000002</v>
      </c>
      <c r="J10" s="14" t="s">
        <v>65</v>
      </c>
      <c r="K10" s="84">
        <v>30000</v>
      </c>
      <c r="L10" s="14"/>
      <c r="M10" s="84">
        <v>30000.000000000004</v>
      </c>
      <c r="N10" s="14"/>
    </row>
    <row r="11" spans="1:14" ht="15" customHeight="1" x14ac:dyDescent="0.25">
      <c r="A11" s="98">
        <v>44048</v>
      </c>
      <c r="B11" s="32">
        <v>1207.0899999999997</v>
      </c>
      <c r="C11" s="14"/>
      <c r="D11" s="32">
        <v>0.3</v>
      </c>
      <c r="E11" s="84">
        <v>100</v>
      </c>
      <c r="F11" s="14"/>
      <c r="G11" s="84">
        <v>19500</v>
      </c>
      <c r="H11" s="14"/>
      <c r="I11" s="84">
        <v>10500</v>
      </c>
      <c r="J11" s="14"/>
      <c r="K11" s="84">
        <v>30000</v>
      </c>
      <c r="L11" s="14"/>
      <c r="M11" s="84">
        <v>30000.000000000004</v>
      </c>
      <c r="N11" s="14"/>
    </row>
    <row r="12" spans="1:14" ht="15" customHeight="1" x14ac:dyDescent="0.25">
      <c r="A12" s="98">
        <v>44049</v>
      </c>
      <c r="B12" s="32">
        <v>1207.04</v>
      </c>
      <c r="C12" s="14"/>
      <c r="D12" s="32">
        <v>0.2</v>
      </c>
      <c r="E12" s="84">
        <v>100</v>
      </c>
      <c r="F12" s="14"/>
      <c r="G12" s="84">
        <v>23000.000000000004</v>
      </c>
      <c r="H12" s="14"/>
      <c r="I12" s="84">
        <v>6900</v>
      </c>
      <c r="J12" s="14"/>
      <c r="K12" s="84">
        <v>29900.000000000004</v>
      </c>
      <c r="L12" s="14"/>
      <c r="M12" s="84">
        <v>30000.000000000004</v>
      </c>
      <c r="N12" s="14"/>
    </row>
    <row r="13" spans="1:14" ht="15" customHeight="1" x14ac:dyDescent="0.25">
      <c r="A13" s="98">
        <v>44050</v>
      </c>
      <c r="B13" s="32">
        <v>1206.9399999999998</v>
      </c>
      <c r="C13" s="14"/>
      <c r="D13" s="32">
        <v>0.2</v>
      </c>
      <c r="E13" s="84">
        <v>100</v>
      </c>
      <c r="F13" s="14"/>
      <c r="G13" s="84">
        <v>30000.000000000004</v>
      </c>
      <c r="H13" s="14"/>
      <c r="I13" s="84">
        <v>0</v>
      </c>
      <c r="J13" s="14"/>
      <c r="K13" s="84">
        <v>30000.000000000004</v>
      </c>
      <c r="L13" s="14"/>
      <c r="M13" s="84">
        <v>29000.000000000004</v>
      </c>
      <c r="N13" s="14"/>
    </row>
    <row r="14" spans="1:14" ht="15" customHeight="1" x14ac:dyDescent="0.25">
      <c r="A14" s="98">
        <v>44051</v>
      </c>
      <c r="B14" s="32">
        <v>1206.83</v>
      </c>
      <c r="C14" s="14"/>
      <c r="D14" s="32">
        <v>0.2</v>
      </c>
      <c r="E14" s="84">
        <v>100</v>
      </c>
      <c r="F14" s="14"/>
      <c r="G14" s="84">
        <v>30000.000000000004</v>
      </c>
      <c r="H14" s="14"/>
      <c r="I14" s="84">
        <v>0</v>
      </c>
      <c r="J14" s="14"/>
      <c r="K14" s="84">
        <v>30000.000000000004</v>
      </c>
      <c r="L14" s="14"/>
      <c r="M14" s="84">
        <v>30000</v>
      </c>
      <c r="N14" s="14"/>
    </row>
    <row r="15" spans="1:14" ht="15" customHeight="1" x14ac:dyDescent="0.25">
      <c r="A15" s="98">
        <v>44052</v>
      </c>
      <c r="B15" s="32">
        <v>1206.96</v>
      </c>
      <c r="C15" s="14"/>
      <c r="D15" s="32">
        <v>0.2</v>
      </c>
      <c r="E15" s="84">
        <v>100</v>
      </c>
      <c r="F15" s="14"/>
      <c r="G15" s="84">
        <v>30000.000000000004</v>
      </c>
      <c r="H15" s="14"/>
      <c r="I15" s="84">
        <v>0</v>
      </c>
      <c r="J15" s="14"/>
      <c r="K15" s="84">
        <v>30000.000000000004</v>
      </c>
      <c r="L15" s="14"/>
      <c r="M15" s="84">
        <v>31000</v>
      </c>
      <c r="N15" s="14" t="s">
        <v>65</v>
      </c>
    </row>
    <row r="16" spans="1:14" ht="15" customHeight="1" x14ac:dyDescent="0.25">
      <c r="A16" s="98">
        <v>44053</v>
      </c>
      <c r="B16" s="32">
        <v>1206.99</v>
      </c>
      <c r="C16" s="14"/>
      <c r="D16" s="32">
        <v>0.49999999999999994</v>
      </c>
      <c r="E16" s="84">
        <v>100</v>
      </c>
      <c r="F16" s="14"/>
      <c r="G16" s="84">
        <v>22800</v>
      </c>
      <c r="H16" s="14"/>
      <c r="I16" s="84">
        <v>7200.0000000000009</v>
      </c>
      <c r="J16" s="14"/>
      <c r="K16" s="84">
        <v>30000</v>
      </c>
      <c r="L16" s="14"/>
      <c r="M16" s="84">
        <v>30000.000000000004</v>
      </c>
      <c r="N16" s="14"/>
    </row>
    <row r="17" spans="1:14" ht="15" customHeight="1" x14ac:dyDescent="0.25">
      <c r="A17" s="98">
        <v>44054</v>
      </c>
      <c r="B17" s="32">
        <v>1206.9000000000001</v>
      </c>
      <c r="C17" s="14"/>
      <c r="D17" s="32">
        <v>0.2</v>
      </c>
      <c r="E17" s="84">
        <v>100</v>
      </c>
      <c r="F17" s="14"/>
      <c r="G17" s="84">
        <v>20100</v>
      </c>
      <c r="H17" s="14"/>
      <c r="I17" s="84">
        <v>10000.000000000002</v>
      </c>
      <c r="J17" s="14"/>
      <c r="K17" s="84">
        <v>30100</v>
      </c>
      <c r="L17" s="14"/>
      <c r="M17" s="84">
        <v>30000.000000000004</v>
      </c>
      <c r="N17" s="14"/>
    </row>
    <row r="18" spans="1:14" ht="15" customHeight="1" x14ac:dyDescent="0.25">
      <c r="A18" s="98">
        <v>44055</v>
      </c>
      <c r="B18" s="32">
        <v>1206.8699999999999</v>
      </c>
      <c r="C18" s="14"/>
      <c r="D18" s="32">
        <v>0.2</v>
      </c>
      <c r="E18" s="84">
        <v>100</v>
      </c>
      <c r="F18" s="14"/>
      <c r="G18" s="84">
        <v>23100</v>
      </c>
      <c r="H18" s="14"/>
      <c r="I18" s="84">
        <v>7000.0000000000009</v>
      </c>
      <c r="J18" s="14"/>
      <c r="K18" s="84">
        <v>30100</v>
      </c>
      <c r="L18" s="14"/>
      <c r="M18" s="84">
        <v>29000.000000000004</v>
      </c>
      <c r="N18" s="14"/>
    </row>
    <row r="19" spans="1:14" ht="15" customHeight="1" x14ac:dyDescent="0.25">
      <c r="A19" s="98">
        <v>44056</v>
      </c>
      <c r="B19" s="32">
        <v>1206.7899999999997</v>
      </c>
      <c r="C19" s="14"/>
      <c r="D19" s="32">
        <v>0.2</v>
      </c>
      <c r="E19" s="84">
        <v>100</v>
      </c>
      <c r="F19" s="14"/>
      <c r="G19" s="84">
        <v>29400</v>
      </c>
      <c r="H19" s="14"/>
      <c r="I19" s="84">
        <v>600</v>
      </c>
      <c r="J19" s="14"/>
      <c r="K19" s="84">
        <v>30000</v>
      </c>
      <c r="L19" s="14"/>
      <c r="M19" s="84">
        <v>29000.000000000004</v>
      </c>
      <c r="N19" s="14"/>
    </row>
    <row r="20" spans="1:14" ht="15" customHeight="1" x14ac:dyDescent="0.25">
      <c r="A20" s="98">
        <v>44057</v>
      </c>
      <c r="B20" s="32">
        <v>1206.75</v>
      </c>
      <c r="C20" s="14"/>
      <c r="D20" s="32">
        <v>0.2</v>
      </c>
      <c r="E20" s="84">
        <v>100</v>
      </c>
      <c r="F20" s="14"/>
      <c r="G20" s="84">
        <v>30000.000000000004</v>
      </c>
      <c r="H20" s="14"/>
      <c r="I20" s="84">
        <v>0</v>
      </c>
      <c r="J20" s="14"/>
      <c r="K20" s="84">
        <v>30000.000000000004</v>
      </c>
      <c r="L20" s="14"/>
      <c r="M20" s="84">
        <v>29000.000000000004</v>
      </c>
      <c r="N20" s="14"/>
    </row>
    <row r="21" spans="1:14" ht="15" customHeight="1" x14ac:dyDescent="0.25">
      <c r="A21" s="98">
        <v>44058</v>
      </c>
      <c r="B21" s="32">
        <v>1206.6399999999999</v>
      </c>
      <c r="C21" s="14"/>
      <c r="D21" s="32">
        <v>0.2</v>
      </c>
      <c r="E21" s="84">
        <v>100</v>
      </c>
      <c r="F21" s="14"/>
      <c r="G21" s="84">
        <v>30100</v>
      </c>
      <c r="H21" s="14"/>
      <c r="I21" s="84">
        <v>0</v>
      </c>
      <c r="J21" s="14"/>
      <c r="K21" s="84">
        <v>30100</v>
      </c>
      <c r="L21" s="14"/>
      <c r="M21" s="84">
        <v>29000.000000000004</v>
      </c>
      <c r="N21" s="14"/>
    </row>
    <row r="22" spans="1:14" ht="15" customHeight="1" x14ac:dyDescent="0.25">
      <c r="A22" s="98">
        <v>44059</v>
      </c>
      <c r="B22" s="32">
        <v>1206.6199999999997</v>
      </c>
      <c r="C22" s="14"/>
      <c r="D22" s="32">
        <v>0.2</v>
      </c>
      <c r="E22" s="84">
        <v>100</v>
      </c>
      <c r="F22" s="14"/>
      <c r="G22" s="84">
        <v>30000.000000000004</v>
      </c>
      <c r="H22" s="14"/>
      <c r="I22" s="84">
        <v>0</v>
      </c>
      <c r="J22" s="14"/>
      <c r="K22" s="84">
        <v>30000.000000000004</v>
      </c>
      <c r="L22" s="14"/>
      <c r="M22" s="84">
        <v>30000.000000000004</v>
      </c>
      <c r="N22" s="14"/>
    </row>
    <row r="23" spans="1:14" ht="15" customHeight="1" x14ac:dyDescent="0.25">
      <c r="A23" s="98">
        <v>44060</v>
      </c>
      <c r="B23" s="32">
        <v>1206.6199999999997</v>
      </c>
      <c r="C23" s="14"/>
      <c r="D23" s="32">
        <v>0.2</v>
      </c>
      <c r="E23" s="84">
        <v>100</v>
      </c>
      <c r="F23" s="14"/>
      <c r="G23" s="84">
        <v>30000.000000000004</v>
      </c>
      <c r="H23" s="14"/>
      <c r="I23" s="84">
        <v>0</v>
      </c>
      <c r="J23" s="14"/>
      <c r="K23" s="84">
        <v>30000.000000000004</v>
      </c>
      <c r="L23" s="14"/>
      <c r="M23" s="84">
        <v>30000.000000000004</v>
      </c>
      <c r="N23" s="14"/>
    </row>
    <row r="24" spans="1:14" ht="15" customHeight="1" x14ac:dyDescent="0.25">
      <c r="A24" s="98">
        <v>44061</v>
      </c>
      <c r="B24" s="32">
        <v>1206.57</v>
      </c>
      <c r="C24" s="14"/>
      <c r="D24" s="32">
        <v>0.2</v>
      </c>
      <c r="E24" s="84">
        <v>100</v>
      </c>
      <c r="F24" s="14"/>
      <c r="G24" s="84">
        <v>30000.000000000004</v>
      </c>
      <c r="H24" s="14"/>
      <c r="I24" s="84">
        <v>0</v>
      </c>
      <c r="J24" s="14"/>
      <c r="K24" s="84">
        <v>30000.000000000004</v>
      </c>
      <c r="L24" s="14"/>
      <c r="M24" s="84">
        <v>30000.000000000004</v>
      </c>
      <c r="N24" s="14"/>
    </row>
    <row r="25" spans="1:14" ht="15" customHeight="1" x14ac:dyDescent="0.25">
      <c r="A25" s="98">
        <v>44062</v>
      </c>
      <c r="B25" s="32">
        <v>1206.52</v>
      </c>
      <c r="C25" s="14" t="s">
        <v>66</v>
      </c>
      <c r="D25" s="32">
        <v>0.2</v>
      </c>
      <c r="E25" s="84">
        <v>100</v>
      </c>
      <c r="F25" s="14"/>
      <c r="G25" s="84">
        <v>30000.000000000004</v>
      </c>
      <c r="H25" s="14"/>
      <c r="I25" s="84">
        <v>0</v>
      </c>
      <c r="J25" s="14"/>
      <c r="K25" s="84">
        <v>30000.000000000004</v>
      </c>
      <c r="L25" s="14"/>
      <c r="M25" s="84">
        <v>29000.000000000004</v>
      </c>
      <c r="N25" s="14"/>
    </row>
    <row r="26" spans="1:14" ht="15" customHeight="1" x14ac:dyDescent="0.25">
      <c r="A26" s="98">
        <v>44063</v>
      </c>
      <c r="B26" s="32">
        <v>1206.5299999999997</v>
      </c>
      <c r="C26" s="14"/>
      <c r="D26" s="32">
        <v>0.2</v>
      </c>
      <c r="E26" s="84">
        <v>100</v>
      </c>
      <c r="F26" s="14"/>
      <c r="G26" s="84">
        <v>30100</v>
      </c>
      <c r="H26" s="14"/>
      <c r="I26" s="84">
        <v>0</v>
      </c>
      <c r="J26" s="14"/>
      <c r="K26" s="84">
        <v>30100</v>
      </c>
      <c r="L26" s="14"/>
      <c r="M26" s="84">
        <v>30000.000000000004</v>
      </c>
      <c r="N26" s="14"/>
    </row>
    <row r="27" spans="1:14" ht="15" customHeight="1" x14ac:dyDescent="0.25">
      <c r="A27" s="98">
        <v>44064</v>
      </c>
      <c r="B27" s="32">
        <v>1206.57</v>
      </c>
      <c r="C27" s="14"/>
      <c r="D27" s="32">
        <v>0.2</v>
      </c>
      <c r="E27" s="84">
        <v>100</v>
      </c>
      <c r="F27" s="14"/>
      <c r="G27" s="84">
        <v>30000.000000000004</v>
      </c>
      <c r="H27" s="14"/>
      <c r="I27" s="84">
        <v>0</v>
      </c>
      <c r="J27" s="14"/>
      <c r="K27" s="84">
        <v>30000.000000000004</v>
      </c>
      <c r="L27" s="14"/>
      <c r="M27" s="84">
        <v>31000</v>
      </c>
      <c r="N27" s="14"/>
    </row>
    <row r="28" spans="1:14" ht="15" customHeight="1" x14ac:dyDescent="0.25">
      <c r="A28" s="98">
        <v>44065</v>
      </c>
      <c r="B28" s="32">
        <v>1206.57</v>
      </c>
      <c r="C28" s="14"/>
      <c r="D28" s="32">
        <v>0.2</v>
      </c>
      <c r="E28" s="84">
        <v>100</v>
      </c>
      <c r="F28" s="14"/>
      <c r="G28" s="84">
        <v>30000.000000000004</v>
      </c>
      <c r="H28" s="14"/>
      <c r="I28" s="84">
        <v>0</v>
      </c>
      <c r="J28" s="14"/>
      <c r="K28" s="84">
        <v>30000.000000000004</v>
      </c>
      <c r="L28" s="14"/>
      <c r="M28" s="84">
        <v>30000.000000000004</v>
      </c>
      <c r="N28" s="14"/>
    </row>
    <row r="29" spans="1:14" ht="15" customHeight="1" x14ac:dyDescent="0.25">
      <c r="A29" s="98">
        <v>44066</v>
      </c>
      <c r="B29" s="32">
        <v>1206.58</v>
      </c>
      <c r="C29" s="14"/>
      <c r="D29" s="32">
        <v>0.2</v>
      </c>
      <c r="E29" s="84">
        <v>100</v>
      </c>
      <c r="F29" s="14"/>
      <c r="G29" s="84">
        <v>29900</v>
      </c>
      <c r="H29" s="14"/>
      <c r="I29" s="84">
        <v>0</v>
      </c>
      <c r="J29" s="14"/>
      <c r="K29" s="84">
        <v>29900</v>
      </c>
      <c r="L29" s="14"/>
      <c r="M29" s="84">
        <v>30000.000000000004</v>
      </c>
      <c r="N29" s="14"/>
    </row>
    <row r="30" spans="1:14" ht="15" customHeight="1" x14ac:dyDescent="0.25">
      <c r="A30" s="98">
        <v>44067</v>
      </c>
      <c r="B30" s="32">
        <v>1206.5999999999999</v>
      </c>
      <c r="C30" s="14"/>
      <c r="D30" s="32">
        <v>0.2</v>
      </c>
      <c r="E30" s="84">
        <v>100</v>
      </c>
      <c r="F30" s="14"/>
      <c r="G30" s="84">
        <v>30000.000000000004</v>
      </c>
      <c r="H30" s="14"/>
      <c r="I30" s="84">
        <v>0</v>
      </c>
      <c r="J30" s="14"/>
      <c r="K30" s="84">
        <v>30000.000000000004</v>
      </c>
      <c r="L30" s="14"/>
      <c r="M30" s="84">
        <v>30000.000000000004</v>
      </c>
      <c r="N30" s="14"/>
    </row>
    <row r="31" spans="1:14" ht="15" customHeight="1" x14ac:dyDescent="0.25">
      <c r="A31" s="98">
        <v>44068</v>
      </c>
      <c r="B31" s="32">
        <v>1206.6199999999997</v>
      </c>
      <c r="C31" s="14"/>
      <c r="D31" s="32">
        <v>0.2</v>
      </c>
      <c r="E31" s="84">
        <v>100</v>
      </c>
      <c r="F31" s="14"/>
      <c r="G31" s="84">
        <v>30000.000000000004</v>
      </c>
      <c r="H31" s="14"/>
      <c r="I31" s="84">
        <v>0</v>
      </c>
      <c r="J31" s="14"/>
      <c r="K31" s="84">
        <v>30000.000000000004</v>
      </c>
      <c r="L31" s="14"/>
      <c r="M31" s="84">
        <v>30000.000000000004</v>
      </c>
      <c r="N31" s="14"/>
    </row>
    <row r="32" spans="1:14" ht="15" customHeight="1" x14ac:dyDescent="0.25">
      <c r="A32" s="98">
        <v>44069</v>
      </c>
      <c r="B32" s="32">
        <v>1206.72</v>
      </c>
      <c r="C32" s="14"/>
      <c r="D32" s="32">
        <v>0.2</v>
      </c>
      <c r="E32" s="84">
        <v>100</v>
      </c>
      <c r="F32" s="14"/>
      <c r="G32" s="84">
        <v>30000.000000000004</v>
      </c>
      <c r="H32" s="14"/>
      <c r="I32" s="84">
        <v>0</v>
      </c>
      <c r="J32" s="14"/>
      <c r="K32" s="84">
        <v>30000.000000000004</v>
      </c>
      <c r="L32" s="14"/>
      <c r="M32" s="84">
        <v>31000</v>
      </c>
      <c r="N32" s="14"/>
    </row>
    <row r="33" spans="1:14" ht="15" customHeight="1" x14ac:dyDescent="0.25">
      <c r="A33" s="98">
        <v>44070</v>
      </c>
      <c r="B33" s="32">
        <v>1206.72</v>
      </c>
      <c r="C33" s="14"/>
      <c r="D33" s="32">
        <v>0.2</v>
      </c>
      <c r="E33" s="84">
        <v>100</v>
      </c>
      <c r="F33" s="14"/>
      <c r="G33" s="84">
        <v>30000.000000000004</v>
      </c>
      <c r="H33" s="14"/>
      <c r="I33" s="84">
        <v>0</v>
      </c>
      <c r="J33" s="14"/>
      <c r="K33" s="84">
        <v>30000.000000000004</v>
      </c>
      <c r="L33" s="14"/>
      <c r="M33" s="84">
        <v>31000</v>
      </c>
      <c r="N33" s="14"/>
    </row>
    <row r="34" spans="1:14" ht="15" customHeight="1" x14ac:dyDescent="0.25">
      <c r="A34" s="98">
        <v>44071</v>
      </c>
      <c r="B34" s="32">
        <v>1206.75</v>
      </c>
      <c r="C34" s="14"/>
      <c r="D34" s="32">
        <v>0.2</v>
      </c>
      <c r="E34" s="84">
        <v>100</v>
      </c>
      <c r="F34" s="14"/>
      <c r="G34" s="84">
        <v>30000.000000000004</v>
      </c>
      <c r="H34" s="14"/>
      <c r="I34" s="84">
        <v>0</v>
      </c>
      <c r="J34" s="14"/>
      <c r="K34" s="84">
        <v>30000.000000000004</v>
      </c>
      <c r="L34" s="14"/>
      <c r="M34" s="84">
        <v>31000</v>
      </c>
      <c r="N34" s="14"/>
    </row>
    <row r="35" spans="1:14" ht="15" customHeight="1" x14ac:dyDescent="0.25">
      <c r="A35" s="98">
        <v>44072</v>
      </c>
      <c r="B35" s="32">
        <v>1206.74</v>
      </c>
      <c r="C35" s="14"/>
      <c r="D35" s="32">
        <v>0.2</v>
      </c>
      <c r="E35" s="84">
        <v>100</v>
      </c>
      <c r="F35" s="14"/>
      <c r="G35" s="84">
        <v>29900</v>
      </c>
      <c r="H35" s="14"/>
      <c r="I35" s="84">
        <v>0</v>
      </c>
      <c r="J35" s="14"/>
      <c r="K35" s="84">
        <v>29900</v>
      </c>
      <c r="L35" s="14"/>
      <c r="M35" s="84">
        <v>30000.000000000004</v>
      </c>
      <c r="N35" s="14"/>
    </row>
    <row r="36" spans="1:14" ht="15" customHeight="1" x14ac:dyDescent="0.25">
      <c r="A36" s="98">
        <v>44073</v>
      </c>
      <c r="B36" s="32">
        <v>1206.96</v>
      </c>
      <c r="C36" s="14"/>
      <c r="D36" s="32">
        <v>0.2</v>
      </c>
      <c r="E36" s="84">
        <v>100</v>
      </c>
      <c r="F36" s="14"/>
      <c r="G36" s="84">
        <v>30000.000000000004</v>
      </c>
      <c r="H36" s="14"/>
      <c r="I36" s="84">
        <v>0</v>
      </c>
      <c r="J36" s="14"/>
      <c r="K36" s="84">
        <v>30000.000000000004</v>
      </c>
      <c r="L36" s="14"/>
      <c r="M36" s="84">
        <v>30000.000000000004</v>
      </c>
      <c r="N36" s="14"/>
    </row>
    <row r="37" spans="1:14" ht="15" customHeight="1" x14ac:dyDescent="0.25">
      <c r="A37" s="98">
        <v>44074</v>
      </c>
      <c r="B37" s="32">
        <v>1206.81</v>
      </c>
      <c r="C37" s="14"/>
      <c r="D37" s="32">
        <v>0.2</v>
      </c>
      <c r="E37" s="84">
        <v>100</v>
      </c>
      <c r="F37" s="14"/>
      <c r="G37" s="84">
        <v>30000.000000000004</v>
      </c>
      <c r="H37" s="14"/>
      <c r="I37" s="84">
        <v>0</v>
      </c>
      <c r="J37" s="14"/>
      <c r="K37" s="84">
        <v>30000.000000000004</v>
      </c>
      <c r="L37" s="14"/>
      <c r="M37" s="84">
        <v>30000.000000000004</v>
      </c>
      <c r="N37" s="14"/>
    </row>
    <row r="38" spans="1:14" ht="15" customHeight="1" x14ac:dyDescent="0.25">
      <c r="A38" s="83" t="s">
        <v>0</v>
      </c>
      <c r="B38" s="83"/>
      <c r="C38" s="83"/>
      <c r="D38" s="32">
        <v>7.1000000000000041</v>
      </c>
      <c r="E38" s="84">
        <v>3000</v>
      </c>
      <c r="F38" s="99"/>
      <c r="G38" s="84">
        <v>869900</v>
      </c>
      <c r="H38" s="99"/>
      <c r="I38" s="84">
        <v>60200</v>
      </c>
      <c r="J38" s="100"/>
      <c r="K38" s="84">
        <v>930100</v>
      </c>
      <c r="L38" s="100"/>
      <c r="M38" s="84">
        <v>926000</v>
      </c>
      <c r="N38" s="100"/>
    </row>
    <row r="39" spans="1:14" ht="15" customHeight="1" x14ac:dyDescent="0.25">
      <c r="A39" s="83" t="s">
        <v>1</v>
      </c>
      <c r="B39" s="83"/>
      <c r="C39" s="83"/>
      <c r="D39" s="101"/>
      <c r="E39" s="84">
        <v>6000</v>
      </c>
      <c r="F39" s="99"/>
      <c r="G39" s="84">
        <v>1725000</v>
      </c>
      <c r="H39" s="99"/>
      <c r="I39" s="84">
        <v>119000</v>
      </c>
      <c r="J39" s="100"/>
      <c r="K39" s="84">
        <v>1845000</v>
      </c>
      <c r="L39" s="100"/>
      <c r="M39" s="84">
        <v>1837000</v>
      </c>
      <c r="N39" s="100"/>
    </row>
    <row r="40" spans="1:14" ht="15" customHeight="1" x14ac:dyDescent="0.25">
      <c r="A40" s="102" t="s">
        <v>2</v>
      </c>
      <c r="B40" s="32">
        <v>1206.8006451612896</v>
      </c>
      <c r="C40" s="103"/>
      <c r="D40" s="32">
        <v>0.22903225806451627</v>
      </c>
      <c r="E40" s="84">
        <v>100</v>
      </c>
      <c r="F40" s="99"/>
      <c r="G40" s="84">
        <v>28100</v>
      </c>
      <c r="H40" s="99"/>
      <c r="I40" s="84">
        <v>1900</v>
      </c>
      <c r="J40" s="100"/>
      <c r="K40" s="84">
        <v>30000</v>
      </c>
      <c r="L40" s="100"/>
      <c r="M40" s="84">
        <v>29900</v>
      </c>
      <c r="N40" s="100"/>
    </row>
    <row r="41" spans="1:14" ht="15" customHeight="1" x14ac:dyDescent="0.25">
      <c r="A41" s="83" t="s">
        <v>25</v>
      </c>
      <c r="B41" s="83"/>
      <c r="C41" s="83"/>
      <c r="D41" s="83"/>
      <c r="E41" s="81" t="s">
        <v>31</v>
      </c>
      <c r="F41" s="88">
        <v>345000</v>
      </c>
      <c r="G41" s="88"/>
      <c r="H41" s="62"/>
      <c r="I41" s="62"/>
      <c r="J41" s="83" t="s">
        <v>44</v>
      </c>
      <c r="K41" s="83"/>
      <c r="L41" s="88">
        <v>-13999.999999999942</v>
      </c>
      <c r="M41" s="88"/>
    </row>
    <row r="42" spans="1:14" ht="15" customHeight="1" x14ac:dyDescent="0.25">
      <c r="A42" s="104" t="s">
        <v>32</v>
      </c>
      <c r="B42" s="60"/>
      <c r="C42" s="61"/>
      <c r="D42" s="83" t="s">
        <v>46</v>
      </c>
      <c r="E42" s="83"/>
      <c r="F42" s="88">
        <v>357000</v>
      </c>
      <c r="G42" s="88"/>
      <c r="H42" s="62"/>
      <c r="I42" s="62"/>
      <c r="J42" s="83" t="s">
        <v>33</v>
      </c>
      <c r="K42" s="83"/>
      <c r="L42" s="88">
        <v>338999.99999999994</v>
      </c>
      <c r="M42" s="88"/>
    </row>
    <row r="43" spans="1:14" ht="15" customHeight="1" x14ac:dyDescent="0.25">
      <c r="A43" s="104" t="s">
        <v>30</v>
      </c>
      <c r="B43" s="60"/>
      <c r="C43" s="61"/>
      <c r="D43" s="83" t="s">
        <v>45</v>
      </c>
      <c r="E43" s="83"/>
      <c r="F43" s="66" t="s">
        <v>91</v>
      </c>
      <c r="G43" s="66"/>
      <c r="H43" s="62"/>
      <c r="I43" s="62"/>
      <c r="J43" s="61"/>
      <c r="K43" s="62"/>
      <c r="L43" s="61"/>
      <c r="M43" s="62"/>
    </row>
    <row r="44" spans="1:14" ht="15" customHeight="1" x14ac:dyDescent="0.25">
      <c r="A44" s="89" t="s">
        <v>90</v>
      </c>
      <c r="B44" s="89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90">
        <v>44044</v>
      </c>
    </row>
    <row r="45" spans="1:14" ht="15" customHeight="1" x14ac:dyDescent="0.25">
      <c r="A45" s="89"/>
      <c r="B45" s="89"/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90"/>
    </row>
    <row r="46" spans="1:14" ht="15" customHeight="1" x14ac:dyDescent="0.25">
      <c r="A46" s="89"/>
      <c r="B46" s="89"/>
      <c r="C46" s="89"/>
      <c r="D46" s="89"/>
      <c r="E46" s="89"/>
      <c r="F46" s="89"/>
      <c r="G46" s="89"/>
      <c r="H46" s="89"/>
      <c r="I46" s="89"/>
      <c r="J46" s="89"/>
      <c r="K46" s="89"/>
      <c r="L46" s="89"/>
      <c r="M46" s="90"/>
    </row>
    <row r="47" spans="1:14" ht="15.75" customHeight="1" x14ac:dyDescent="0.25">
      <c r="A47" s="91" t="s">
        <v>43</v>
      </c>
      <c r="B47" s="91"/>
      <c r="C47" s="91"/>
      <c r="D47" s="91"/>
      <c r="E47" s="91"/>
      <c r="F47" s="91"/>
      <c r="G47" s="91"/>
      <c r="H47" s="91"/>
      <c r="I47" s="91"/>
      <c r="J47" s="91"/>
      <c r="K47" s="91"/>
      <c r="L47" s="91"/>
      <c r="M47" s="91"/>
    </row>
    <row r="48" spans="1:14" ht="15.75" customHeight="1" x14ac:dyDescent="0.25">
      <c r="A48" s="91" t="s">
        <v>61</v>
      </c>
      <c r="B48" s="91"/>
      <c r="C48" s="91"/>
      <c r="D48" s="91"/>
      <c r="E48" s="91"/>
      <c r="F48" s="91" t="s">
        <v>36</v>
      </c>
      <c r="G48" s="91"/>
      <c r="H48" s="91"/>
      <c r="I48" s="91"/>
      <c r="J48" s="91"/>
      <c r="K48" s="91"/>
      <c r="L48" s="91"/>
      <c r="M48" s="91"/>
    </row>
    <row r="49" spans="1:14" ht="15.75" customHeight="1" x14ac:dyDescent="0.25">
      <c r="A49" s="83" t="s">
        <v>52</v>
      </c>
      <c r="B49" s="83"/>
      <c r="C49" s="83"/>
      <c r="D49" s="83"/>
      <c r="E49" s="83"/>
      <c r="F49" s="92">
        <v>44044</v>
      </c>
      <c r="G49" s="92"/>
      <c r="H49" s="92"/>
      <c r="I49" s="93" t="s">
        <v>35</v>
      </c>
      <c r="J49" s="94"/>
      <c r="K49" s="94"/>
      <c r="L49" s="94"/>
      <c r="M49" s="94"/>
    </row>
    <row r="50" spans="1:14" ht="15" customHeight="1" x14ac:dyDescent="0.25">
      <c r="A50" s="95"/>
      <c r="B50" s="95"/>
      <c r="C50" s="95"/>
      <c r="D50" s="83" t="s">
        <v>56</v>
      </c>
      <c r="E50" s="83"/>
      <c r="F50" s="83"/>
      <c r="G50" s="83" t="s">
        <v>34</v>
      </c>
      <c r="H50" s="83"/>
      <c r="I50" s="83"/>
      <c r="J50" s="83"/>
      <c r="K50" s="83"/>
      <c r="L50" s="83"/>
      <c r="M50" s="83"/>
    </row>
    <row r="51" spans="1:14" ht="15" customHeight="1" x14ac:dyDescent="0.25">
      <c r="A51" s="96">
        <v>44044</v>
      </c>
      <c r="B51" s="83" t="s">
        <v>27</v>
      </c>
      <c r="C51" s="94"/>
      <c r="D51" s="82" t="s">
        <v>57</v>
      </c>
      <c r="E51" s="82" t="s">
        <v>58</v>
      </c>
      <c r="F51" s="94"/>
      <c r="G51" s="83" t="s">
        <v>28</v>
      </c>
      <c r="H51" s="83"/>
      <c r="I51" s="83"/>
      <c r="J51" s="83"/>
      <c r="K51" s="83"/>
      <c r="L51" s="83"/>
      <c r="M51" s="82" t="s">
        <v>29</v>
      </c>
    </row>
    <row r="52" spans="1:14" ht="15" customHeight="1" x14ac:dyDescent="0.25">
      <c r="A52" s="97">
        <v>44044</v>
      </c>
      <c r="B52" s="83" t="s">
        <v>42</v>
      </c>
      <c r="C52" s="94"/>
      <c r="D52" s="81" t="s">
        <v>40</v>
      </c>
      <c r="E52" s="81" t="s">
        <v>41</v>
      </c>
      <c r="F52" s="60"/>
      <c r="G52" s="81" t="s">
        <v>37</v>
      </c>
      <c r="H52" s="81"/>
      <c r="I52" s="81" t="s">
        <v>38</v>
      </c>
      <c r="J52" s="81"/>
      <c r="K52" s="81" t="s">
        <v>39</v>
      </c>
      <c r="L52" s="81"/>
      <c r="M52" s="81"/>
    </row>
    <row r="53" spans="1:14" ht="15" customHeight="1" x14ac:dyDescent="0.25">
      <c r="A53" s="98">
        <v>44044</v>
      </c>
      <c r="B53" s="32">
        <v>1357.52</v>
      </c>
      <c r="C53" s="14"/>
      <c r="D53" s="32">
        <v>0</v>
      </c>
      <c r="E53" s="84">
        <v>700</v>
      </c>
      <c r="F53" s="14" t="s">
        <v>66</v>
      </c>
      <c r="G53" s="84">
        <v>25600</v>
      </c>
      <c r="H53" s="14" t="s">
        <v>66</v>
      </c>
      <c r="I53" s="84">
        <v>0</v>
      </c>
      <c r="J53" s="14" t="s">
        <v>66</v>
      </c>
      <c r="K53" s="84">
        <v>25600</v>
      </c>
      <c r="L53" s="14" t="s">
        <v>66</v>
      </c>
      <c r="M53" s="84">
        <v>19000</v>
      </c>
      <c r="N53" s="14"/>
    </row>
    <row r="54" spans="1:14" ht="15" customHeight="1" x14ac:dyDescent="0.25">
      <c r="A54" s="98">
        <v>44045</v>
      </c>
      <c r="B54" s="32">
        <v>1357.26</v>
      </c>
      <c r="C54" s="14"/>
      <c r="D54" s="32">
        <v>0</v>
      </c>
      <c r="E54" s="84">
        <v>800</v>
      </c>
      <c r="F54" s="14" t="s">
        <v>65</v>
      </c>
      <c r="G54" s="84">
        <v>26300.000000000004</v>
      </c>
      <c r="H54" s="14"/>
      <c r="I54" s="84">
        <v>0</v>
      </c>
      <c r="J54" s="14"/>
      <c r="K54" s="84">
        <v>26300.000000000004</v>
      </c>
      <c r="L54" s="14"/>
      <c r="M54" s="84">
        <v>17000</v>
      </c>
      <c r="N54" s="14"/>
    </row>
    <row r="55" spans="1:14" ht="15" customHeight="1" x14ac:dyDescent="0.25">
      <c r="A55" s="98">
        <v>44046</v>
      </c>
      <c r="B55" s="32">
        <v>1357.23</v>
      </c>
      <c r="C55" s="14"/>
      <c r="D55" s="32">
        <v>0</v>
      </c>
      <c r="E55" s="84">
        <v>800</v>
      </c>
      <c r="F55" s="14"/>
      <c r="G55" s="84">
        <v>26200.000000000004</v>
      </c>
      <c r="H55" s="14"/>
      <c r="I55" s="84">
        <v>0</v>
      </c>
      <c r="J55" s="14"/>
      <c r="K55" s="84">
        <v>26200.000000000004</v>
      </c>
      <c r="L55" s="14"/>
      <c r="M55" s="84">
        <v>26000</v>
      </c>
      <c r="N55" s="14"/>
    </row>
    <row r="56" spans="1:14" ht="15" customHeight="1" x14ac:dyDescent="0.25">
      <c r="A56" s="98">
        <v>44047</v>
      </c>
      <c r="B56" s="32">
        <v>1357.24</v>
      </c>
      <c r="C56" s="14"/>
      <c r="D56" s="32">
        <v>0</v>
      </c>
      <c r="E56" s="84">
        <v>800</v>
      </c>
      <c r="F56" s="14"/>
      <c r="G56" s="84">
        <v>25600</v>
      </c>
      <c r="H56" s="14"/>
      <c r="I56" s="84">
        <v>700</v>
      </c>
      <c r="J56" s="14" t="s">
        <v>65</v>
      </c>
      <c r="K56" s="84">
        <v>26300</v>
      </c>
      <c r="L56" s="14"/>
      <c r="M56" s="84">
        <v>31000</v>
      </c>
      <c r="N56" s="14" t="s">
        <v>65</v>
      </c>
    </row>
    <row r="57" spans="1:14" ht="15" customHeight="1" x14ac:dyDescent="0.25">
      <c r="A57" s="98">
        <v>44048</v>
      </c>
      <c r="B57" s="32">
        <v>1357.49</v>
      </c>
      <c r="C57" s="14"/>
      <c r="D57" s="32">
        <v>0</v>
      </c>
      <c r="E57" s="84">
        <v>800</v>
      </c>
      <c r="F57" s="14"/>
      <c r="G57" s="84">
        <v>27200.000000000004</v>
      </c>
      <c r="H57" s="14"/>
      <c r="I57" s="84">
        <v>0</v>
      </c>
      <c r="J57" s="14"/>
      <c r="K57" s="84">
        <v>27200.000000000004</v>
      </c>
      <c r="L57" s="14"/>
      <c r="M57" s="84">
        <v>31000</v>
      </c>
      <c r="N57" s="14"/>
    </row>
    <row r="58" spans="1:14" ht="15" customHeight="1" x14ac:dyDescent="0.25">
      <c r="A58" s="98">
        <v>44049</v>
      </c>
      <c r="B58" s="32">
        <v>1357.4799999999998</v>
      </c>
      <c r="C58" s="14"/>
      <c r="D58" s="32">
        <v>0</v>
      </c>
      <c r="E58" s="84">
        <v>800</v>
      </c>
      <c r="F58" s="14"/>
      <c r="G58" s="84">
        <v>26100.000000000004</v>
      </c>
      <c r="H58" s="14"/>
      <c r="I58" s="84">
        <v>0</v>
      </c>
      <c r="J58" s="14"/>
      <c r="K58" s="84">
        <v>26100.000000000004</v>
      </c>
      <c r="L58" s="14"/>
      <c r="M58" s="84">
        <v>31000</v>
      </c>
      <c r="N58" s="14"/>
    </row>
    <row r="59" spans="1:14" ht="15" customHeight="1" x14ac:dyDescent="0.25">
      <c r="A59" s="98">
        <v>44050</v>
      </c>
      <c r="B59" s="32">
        <v>1357.53</v>
      </c>
      <c r="C59" s="14" t="s">
        <v>65</v>
      </c>
      <c r="D59" s="32">
        <v>0</v>
      </c>
      <c r="E59" s="84">
        <v>800</v>
      </c>
      <c r="F59" s="14"/>
      <c r="G59" s="84">
        <v>26300.000000000004</v>
      </c>
      <c r="H59" s="14"/>
      <c r="I59" s="84">
        <v>0</v>
      </c>
      <c r="J59" s="14"/>
      <c r="K59" s="84">
        <v>26300.000000000004</v>
      </c>
      <c r="L59" s="14"/>
      <c r="M59" s="84">
        <v>30000.000000000004</v>
      </c>
      <c r="N59" s="14"/>
    </row>
    <row r="60" spans="1:14" ht="15" customHeight="1" x14ac:dyDescent="0.25">
      <c r="A60" s="98">
        <v>44051</v>
      </c>
      <c r="B60" s="32">
        <v>1357.28</v>
      </c>
      <c r="C60" s="14"/>
      <c r="D60" s="32">
        <v>0</v>
      </c>
      <c r="E60" s="84">
        <v>800</v>
      </c>
      <c r="F60" s="14"/>
      <c r="G60" s="84">
        <v>26200.000000000004</v>
      </c>
      <c r="H60" s="14"/>
      <c r="I60" s="84">
        <v>0</v>
      </c>
      <c r="J60" s="14"/>
      <c r="K60" s="84">
        <v>26200.000000000004</v>
      </c>
      <c r="L60" s="14"/>
      <c r="M60" s="84">
        <v>19000</v>
      </c>
      <c r="N60" s="14"/>
    </row>
    <row r="61" spans="1:14" ht="15" customHeight="1" x14ac:dyDescent="0.25">
      <c r="A61" s="98">
        <v>44052</v>
      </c>
      <c r="B61" s="32">
        <v>1357.33</v>
      </c>
      <c r="C61" s="14"/>
      <c r="D61" s="32">
        <v>0</v>
      </c>
      <c r="E61" s="84">
        <v>800</v>
      </c>
      <c r="F61" s="14"/>
      <c r="G61" s="84">
        <v>26200.000000000004</v>
      </c>
      <c r="H61" s="14"/>
      <c r="I61" s="84">
        <v>0</v>
      </c>
      <c r="J61" s="14"/>
      <c r="K61" s="84">
        <v>26200.000000000004</v>
      </c>
      <c r="L61" s="14"/>
      <c r="M61" s="84">
        <v>16000.000000000002</v>
      </c>
      <c r="N61" s="14"/>
    </row>
    <row r="62" spans="1:14" ht="15" customHeight="1" x14ac:dyDescent="0.25">
      <c r="A62" s="98">
        <v>44053</v>
      </c>
      <c r="B62" s="32">
        <v>1357.11</v>
      </c>
      <c r="C62" s="14"/>
      <c r="D62" s="32">
        <v>0</v>
      </c>
      <c r="E62" s="84">
        <v>800</v>
      </c>
      <c r="F62" s="14"/>
      <c r="G62" s="84">
        <v>26200.000000000004</v>
      </c>
      <c r="H62" s="14"/>
      <c r="I62" s="84">
        <v>0</v>
      </c>
      <c r="J62" s="14"/>
      <c r="K62" s="84">
        <v>26200.000000000004</v>
      </c>
      <c r="L62" s="14"/>
      <c r="M62" s="84">
        <v>25000.000000000004</v>
      </c>
      <c r="N62" s="14"/>
    </row>
    <row r="63" spans="1:14" ht="15" customHeight="1" x14ac:dyDescent="0.25">
      <c r="A63" s="98">
        <v>44054</v>
      </c>
      <c r="B63" s="32">
        <v>1356.9199999999998</v>
      </c>
      <c r="C63" s="14"/>
      <c r="D63" s="32">
        <v>0</v>
      </c>
      <c r="E63" s="84">
        <v>800</v>
      </c>
      <c r="F63" s="14"/>
      <c r="G63" s="84">
        <v>26400.000000000004</v>
      </c>
      <c r="H63" s="14"/>
      <c r="I63" s="84">
        <v>0</v>
      </c>
      <c r="J63" s="14"/>
      <c r="K63" s="84">
        <v>26400.000000000004</v>
      </c>
      <c r="L63" s="14"/>
      <c r="M63" s="84">
        <v>27000.000000000004</v>
      </c>
      <c r="N63" s="14"/>
    </row>
    <row r="64" spans="1:14" ht="15" customHeight="1" x14ac:dyDescent="0.25">
      <c r="A64" s="98">
        <v>44055</v>
      </c>
      <c r="B64" s="32">
        <v>1357.08</v>
      </c>
      <c r="C64" s="14"/>
      <c r="D64" s="32">
        <v>0</v>
      </c>
      <c r="E64" s="84">
        <v>800</v>
      </c>
      <c r="F64" s="14"/>
      <c r="G64" s="84">
        <v>26200.000000000004</v>
      </c>
      <c r="H64" s="14"/>
      <c r="I64" s="84">
        <v>0</v>
      </c>
      <c r="J64" s="14"/>
      <c r="K64" s="84">
        <v>26200.000000000004</v>
      </c>
      <c r="L64" s="14"/>
      <c r="M64" s="84">
        <v>27000.000000000004</v>
      </c>
      <c r="N64" s="14"/>
    </row>
    <row r="65" spans="1:14" ht="15" customHeight="1" x14ac:dyDescent="0.25">
      <c r="A65" s="98">
        <v>44056</v>
      </c>
      <c r="B65" s="32">
        <v>1357.14</v>
      </c>
      <c r="C65" s="14"/>
      <c r="D65" s="32">
        <v>0</v>
      </c>
      <c r="E65" s="84">
        <v>800</v>
      </c>
      <c r="F65" s="14"/>
      <c r="G65" s="84">
        <v>26200.000000000004</v>
      </c>
      <c r="H65" s="14"/>
      <c r="I65" s="84">
        <v>0</v>
      </c>
      <c r="J65" s="14"/>
      <c r="K65" s="84">
        <v>26200.000000000004</v>
      </c>
      <c r="L65" s="14"/>
      <c r="M65" s="84">
        <v>29000.000000000004</v>
      </c>
      <c r="N65" s="14"/>
    </row>
    <row r="66" spans="1:14" ht="15" customHeight="1" x14ac:dyDescent="0.25">
      <c r="A66" s="98">
        <v>44057</v>
      </c>
      <c r="B66" s="32">
        <v>1357.3</v>
      </c>
      <c r="C66" s="14"/>
      <c r="D66" s="32">
        <v>0</v>
      </c>
      <c r="E66" s="84">
        <v>800</v>
      </c>
      <c r="F66" s="14"/>
      <c r="G66" s="84">
        <v>26100.000000000004</v>
      </c>
      <c r="H66" s="14"/>
      <c r="I66" s="84">
        <v>0</v>
      </c>
      <c r="J66" s="14"/>
      <c r="K66" s="84">
        <v>26100.000000000004</v>
      </c>
      <c r="L66" s="14"/>
      <c r="M66" s="84">
        <v>31000</v>
      </c>
      <c r="N66" s="14"/>
    </row>
    <row r="67" spans="1:14" ht="15" customHeight="1" x14ac:dyDescent="0.25">
      <c r="A67" s="98">
        <v>44058</v>
      </c>
      <c r="B67" s="32">
        <v>1357.0999999999997</v>
      </c>
      <c r="C67" s="14"/>
      <c r="D67" s="32">
        <v>0</v>
      </c>
      <c r="E67" s="84">
        <v>800</v>
      </c>
      <c r="F67" s="14"/>
      <c r="G67" s="84">
        <v>27000.000000000004</v>
      </c>
      <c r="H67" s="14"/>
      <c r="I67" s="84">
        <v>0</v>
      </c>
      <c r="J67" s="14"/>
      <c r="K67" s="84">
        <v>27000.000000000004</v>
      </c>
      <c r="L67" s="14"/>
      <c r="M67" s="84">
        <v>21000</v>
      </c>
      <c r="N67" s="14"/>
    </row>
    <row r="68" spans="1:14" ht="15" customHeight="1" x14ac:dyDescent="0.25">
      <c r="A68" s="98">
        <v>44059</v>
      </c>
      <c r="B68" s="32">
        <v>1356.82</v>
      </c>
      <c r="C68" s="14"/>
      <c r="D68" s="32">
        <v>0</v>
      </c>
      <c r="E68" s="84">
        <v>800</v>
      </c>
      <c r="F68" s="14"/>
      <c r="G68" s="84">
        <v>27300.000000000004</v>
      </c>
      <c r="H68" s="14"/>
      <c r="I68" s="84">
        <v>0</v>
      </c>
      <c r="J68" s="14"/>
      <c r="K68" s="84">
        <v>27300.000000000004</v>
      </c>
      <c r="L68" s="14"/>
      <c r="M68" s="84">
        <v>16000.000000000002</v>
      </c>
      <c r="N68" s="14"/>
    </row>
    <row r="69" spans="1:14" ht="15" customHeight="1" x14ac:dyDescent="0.25">
      <c r="A69" s="98">
        <v>44060</v>
      </c>
      <c r="B69" s="32">
        <v>1356.7</v>
      </c>
      <c r="C69" s="14"/>
      <c r="D69" s="32">
        <v>0</v>
      </c>
      <c r="E69" s="84">
        <v>800</v>
      </c>
      <c r="F69" s="14"/>
      <c r="G69" s="84">
        <v>27400</v>
      </c>
      <c r="H69" s="14"/>
      <c r="I69" s="84">
        <v>0</v>
      </c>
      <c r="J69" s="14"/>
      <c r="K69" s="84">
        <v>27400</v>
      </c>
      <c r="L69" s="14"/>
      <c r="M69" s="84">
        <v>24000</v>
      </c>
      <c r="N69" s="14"/>
    </row>
    <row r="70" spans="1:14" ht="15" customHeight="1" x14ac:dyDescent="0.25">
      <c r="A70" s="98">
        <v>44061</v>
      </c>
      <c r="B70" s="32">
        <v>1356.63</v>
      </c>
      <c r="C70" s="14"/>
      <c r="D70" s="32">
        <v>0</v>
      </c>
      <c r="E70" s="84">
        <v>800</v>
      </c>
      <c r="F70" s="14"/>
      <c r="G70" s="84">
        <v>27300.000000000004</v>
      </c>
      <c r="H70" s="14"/>
      <c r="I70" s="84">
        <v>0</v>
      </c>
      <c r="J70" s="14"/>
      <c r="K70" s="84">
        <v>27300.000000000004</v>
      </c>
      <c r="L70" s="14"/>
      <c r="M70" s="84">
        <v>25000.000000000004</v>
      </c>
      <c r="N70" s="14"/>
    </row>
    <row r="71" spans="1:14" ht="15" customHeight="1" x14ac:dyDescent="0.25">
      <c r="A71" s="98">
        <v>44062</v>
      </c>
      <c r="B71" s="32">
        <v>1356.61</v>
      </c>
      <c r="C71" s="14"/>
      <c r="D71" s="32">
        <v>0</v>
      </c>
      <c r="E71" s="84">
        <v>800</v>
      </c>
      <c r="F71" s="14"/>
      <c r="G71" s="84">
        <v>27900.000000000004</v>
      </c>
      <c r="H71" s="14"/>
      <c r="I71" s="84">
        <v>0</v>
      </c>
      <c r="J71" s="14"/>
      <c r="K71" s="84">
        <v>27900.000000000004</v>
      </c>
      <c r="L71" s="14"/>
      <c r="M71" s="84">
        <v>26000</v>
      </c>
      <c r="N71" s="14"/>
    </row>
    <row r="72" spans="1:14" ht="15" customHeight="1" x14ac:dyDescent="0.25">
      <c r="A72" s="98">
        <v>44063</v>
      </c>
      <c r="B72" s="32">
        <v>1356.6799999999998</v>
      </c>
      <c r="C72" s="14"/>
      <c r="D72" s="32">
        <v>0</v>
      </c>
      <c r="E72" s="84">
        <v>800</v>
      </c>
      <c r="F72" s="14"/>
      <c r="G72" s="84">
        <v>27800</v>
      </c>
      <c r="H72" s="14"/>
      <c r="I72" s="84">
        <v>0</v>
      </c>
      <c r="J72" s="14"/>
      <c r="K72" s="84">
        <v>27800</v>
      </c>
      <c r="L72" s="14"/>
      <c r="M72" s="84">
        <v>29000.000000000004</v>
      </c>
      <c r="N72" s="14"/>
    </row>
    <row r="73" spans="1:14" ht="15" customHeight="1" x14ac:dyDescent="0.25">
      <c r="A73" s="98">
        <v>44064</v>
      </c>
      <c r="B73" s="32">
        <v>1356.74</v>
      </c>
      <c r="C73" s="14"/>
      <c r="D73" s="32">
        <v>0</v>
      </c>
      <c r="E73" s="84">
        <v>800</v>
      </c>
      <c r="F73" s="14"/>
      <c r="G73" s="84">
        <v>27800</v>
      </c>
      <c r="H73" s="14"/>
      <c r="I73" s="84">
        <v>0</v>
      </c>
      <c r="J73" s="14"/>
      <c r="K73" s="84">
        <v>27800</v>
      </c>
      <c r="L73" s="14"/>
      <c r="M73" s="84">
        <v>31000</v>
      </c>
      <c r="N73" s="14"/>
    </row>
    <row r="74" spans="1:14" ht="15" customHeight="1" x14ac:dyDescent="0.25">
      <c r="A74" s="98">
        <v>44065</v>
      </c>
      <c r="B74" s="32">
        <v>1356.41</v>
      </c>
      <c r="C74" s="14"/>
      <c r="D74" s="32">
        <v>0</v>
      </c>
      <c r="E74" s="84">
        <v>800</v>
      </c>
      <c r="F74" s="14"/>
      <c r="G74" s="84">
        <v>28000.000000000004</v>
      </c>
      <c r="H74" s="14"/>
      <c r="I74" s="84">
        <v>0</v>
      </c>
      <c r="J74" s="14"/>
      <c r="K74" s="84">
        <v>28000.000000000004</v>
      </c>
      <c r="L74" s="14"/>
      <c r="M74" s="84">
        <v>18000</v>
      </c>
      <c r="N74" s="14"/>
    </row>
    <row r="75" spans="1:14" ht="15" customHeight="1" x14ac:dyDescent="0.25">
      <c r="A75" s="98">
        <v>44066</v>
      </c>
      <c r="B75" s="32">
        <v>1356.02</v>
      </c>
      <c r="C75" s="14"/>
      <c r="D75" s="32">
        <v>0</v>
      </c>
      <c r="E75" s="84">
        <v>700</v>
      </c>
      <c r="F75" s="14"/>
      <c r="G75" s="84">
        <v>28300</v>
      </c>
      <c r="H75" s="14"/>
      <c r="I75" s="84">
        <v>0</v>
      </c>
      <c r="J75" s="14"/>
      <c r="K75" s="84">
        <v>28300</v>
      </c>
      <c r="L75" s="14"/>
      <c r="M75" s="84">
        <v>13000</v>
      </c>
      <c r="N75" s="14" t="s">
        <v>66</v>
      </c>
    </row>
    <row r="76" spans="1:14" ht="15" customHeight="1" x14ac:dyDescent="0.25">
      <c r="A76" s="98">
        <v>44067</v>
      </c>
      <c r="B76" s="32">
        <v>1355.88</v>
      </c>
      <c r="C76" s="14"/>
      <c r="D76" s="32">
        <v>0</v>
      </c>
      <c r="E76" s="84">
        <v>700</v>
      </c>
      <c r="F76" s="14"/>
      <c r="G76" s="84">
        <v>28300</v>
      </c>
      <c r="H76" s="14"/>
      <c r="I76" s="84">
        <v>0</v>
      </c>
      <c r="J76" s="14"/>
      <c r="K76" s="84">
        <v>28300</v>
      </c>
      <c r="L76" s="14"/>
      <c r="M76" s="84">
        <v>23000.000000000004</v>
      </c>
      <c r="N76" s="14"/>
    </row>
    <row r="77" spans="1:14" ht="15" customHeight="1" x14ac:dyDescent="0.25">
      <c r="A77" s="98">
        <v>44068</v>
      </c>
      <c r="B77" s="32">
        <v>1355.7099999999998</v>
      </c>
      <c r="C77" s="14"/>
      <c r="D77" s="32">
        <v>0</v>
      </c>
      <c r="E77" s="84">
        <v>700</v>
      </c>
      <c r="F77" s="14"/>
      <c r="G77" s="84">
        <v>28200.000000000004</v>
      </c>
      <c r="H77" s="14"/>
      <c r="I77" s="84">
        <v>0</v>
      </c>
      <c r="J77" s="14"/>
      <c r="K77" s="84">
        <v>28200.000000000004</v>
      </c>
      <c r="L77" s="14"/>
      <c r="M77" s="84">
        <v>27000.000000000004</v>
      </c>
      <c r="N77" s="14"/>
    </row>
    <row r="78" spans="1:14" ht="15" customHeight="1" x14ac:dyDescent="0.25">
      <c r="A78" s="98">
        <v>44069</v>
      </c>
      <c r="B78" s="32">
        <v>1355.8</v>
      </c>
      <c r="C78" s="14"/>
      <c r="D78" s="32">
        <v>0</v>
      </c>
      <c r="E78" s="84">
        <v>700</v>
      </c>
      <c r="F78" s="14"/>
      <c r="G78" s="84">
        <v>28300</v>
      </c>
      <c r="H78" s="14"/>
      <c r="I78" s="84">
        <v>0</v>
      </c>
      <c r="J78" s="14"/>
      <c r="K78" s="84">
        <v>28300</v>
      </c>
      <c r="L78" s="14"/>
      <c r="M78" s="84">
        <v>27000.000000000004</v>
      </c>
      <c r="N78" s="14"/>
    </row>
    <row r="79" spans="1:14" ht="15" customHeight="1" x14ac:dyDescent="0.25">
      <c r="A79" s="98">
        <v>44070</v>
      </c>
      <c r="B79" s="32">
        <v>1355.82</v>
      </c>
      <c r="C79" s="14"/>
      <c r="D79" s="32">
        <v>0</v>
      </c>
      <c r="E79" s="84">
        <v>700</v>
      </c>
      <c r="F79" s="14"/>
      <c r="G79" s="84">
        <v>28300</v>
      </c>
      <c r="H79" s="14"/>
      <c r="I79" s="84">
        <v>0</v>
      </c>
      <c r="J79" s="14"/>
      <c r="K79" s="84">
        <v>28300</v>
      </c>
      <c r="L79" s="14"/>
      <c r="M79" s="84">
        <v>30000.000000000004</v>
      </c>
      <c r="N79" s="14"/>
    </row>
    <row r="80" spans="1:14" ht="15" customHeight="1" x14ac:dyDescent="0.25">
      <c r="A80" s="98">
        <v>44071</v>
      </c>
      <c r="B80" s="32">
        <v>1355.9499999999998</v>
      </c>
      <c r="C80" s="14"/>
      <c r="D80" s="32">
        <v>0</v>
      </c>
      <c r="E80" s="84">
        <v>700</v>
      </c>
      <c r="F80" s="14"/>
      <c r="G80" s="84">
        <v>28400.000000000004</v>
      </c>
      <c r="H80" s="14"/>
      <c r="I80" s="84">
        <v>0</v>
      </c>
      <c r="J80" s="14"/>
      <c r="K80" s="84">
        <v>28400.000000000004</v>
      </c>
      <c r="L80" s="14"/>
      <c r="M80" s="84">
        <v>31000</v>
      </c>
      <c r="N80" s="14"/>
    </row>
    <row r="81" spans="1:14" ht="15" customHeight="1" x14ac:dyDescent="0.25">
      <c r="A81" s="98">
        <v>44072</v>
      </c>
      <c r="B81" s="32">
        <v>1355.5099999999998</v>
      </c>
      <c r="C81" s="14"/>
      <c r="D81" s="32">
        <v>0</v>
      </c>
      <c r="E81" s="84">
        <v>700</v>
      </c>
      <c r="F81" s="14"/>
      <c r="G81" s="84">
        <v>28300</v>
      </c>
      <c r="H81" s="14"/>
      <c r="I81" s="84">
        <v>0</v>
      </c>
      <c r="J81" s="14"/>
      <c r="K81" s="84">
        <v>28300</v>
      </c>
      <c r="L81" s="14"/>
      <c r="M81" s="84">
        <v>21000</v>
      </c>
      <c r="N81" s="14"/>
    </row>
    <row r="82" spans="1:14" ht="15" customHeight="1" x14ac:dyDescent="0.25">
      <c r="A82" s="98">
        <v>44073</v>
      </c>
      <c r="B82" s="32">
        <v>1355.78</v>
      </c>
      <c r="C82" s="14"/>
      <c r="D82" s="32">
        <v>0</v>
      </c>
      <c r="E82" s="84">
        <v>700</v>
      </c>
      <c r="F82" s="14"/>
      <c r="G82" s="84">
        <v>29000.000000000004</v>
      </c>
      <c r="H82" s="14" t="s">
        <v>65</v>
      </c>
      <c r="I82" s="84">
        <v>0</v>
      </c>
      <c r="J82" s="14"/>
      <c r="K82" s="84">
        <v>29000.000000000004</v>
      </c>
      <c r="L82" s="14" t="s">
        <v>65</v>
      </c>
      <c r="M82" s="84">
        <v>18000</v>
      </c>
      <c r="N82" s="14"/>
    </row>
    <row r="83" spans="1:14" ht="15" customHeight="1" x14ac:dyDescent="0.25">
      <c r="A83" s="98">
        <v>44074</v>
      </c>
      <c r="B83" s="32">
        <v>1355.23</v>
      </c>
      <c r="C83" s="14" t="s">
        <v>66</v>
      </c>
      <c r="D83" s="32">
        <v>0</v>
      </c>
      <c r="E83" s="84">
        <v>700</v>
      </c>
      <c r="F83" s="14"/>
      <c r="G83" s="84">
        <v>28500</v>
      </c>
      <c r="H83" s="14"/>
      <c r="I83" s="84">
        <v>0</v>
      </c>
      <c r="J83" s="14"/>
      <c r="K83" s="84">
        <v>28500</v>
      </c>
      <c r="L83" s="14"/>
      <c r="M83" s="84">
        <v>24000</v>
      </c>
      <c r="N83" s="14"/>
    </row>
    <row r="84" spans="1:14" ht="15" customHeight="1" x14ac:dyDescent="0.25">
      <c r="A84" s="83" t="s">
        <v>0</v>
      </c>
      <c r="B84" s="83"/>
      <c r="C84" s="83"/>
      <c r="D84" s="32">
        <v>0</v>
      </c>
      <c r="E84" s="84">
        <v>23800</v>
      </c>
      <c r="F84" s="99"/>
      <c r="G84" s="84">
        <v>842900</v>
      </c>
      <c r="H84" s="99"/>
      <c r="I84" s="84">
        <v>700</v>
      </c>
      <c r="J84" s="100"/>
      <c r="K84" s="84">
        <v>843600</v>
      </c>
      <c r="L84" s="100"/>
      <c r="M84" s="84">
        <v>763000</v>
      </c>
      <c r="N84" s="100"/>
    </row>
    <row r="85" spans="1:14" ht="15" customHeight="1" x14ac:dyDescent="0.25">
      <c r="A85" s="83" t="s">
        <v>1</v>
      </c>
      <c r="B85" s="83"/>
      <c r="C85" s="83"/>
      <c r="D85" s="101"/>
      <c r="E85" s="84">
        <v>47200</v>
      </c>
      <c r="F85" s="99"/>
      <c r="G85" s="84">
        <v>1672000</v>
      </c>
      <c r="H85" s="99"/>
      <c r="I85" s="84">
        <v>1000</v>
      </c>
      <c r="J85" s="100"/>
      <c r="K85" s="84">
        <v>1673000</v>
      </c>
      <c r="L85" s="100"/>
      <c r="M85" s="84">
        <v>1513000</v>
      </c>
      <c r="N85" s="100"/>
    </row>
    <row r="86" spans="1:14" ht="15" customHeight="1" x14ac:dyDescent="0.25">
      <c r="A86" s="102" t="s">
        <v>2</v>
      </c>
      <c r="B86" s="32">
        <v>1356.6870967741938</v>
      </c>
      <c r="C86" s="103"/>
      <c r="D86" s="32">
        <v>0</v>
      </c>
      <c r="E86" s="84">
        <v>800</v>
      </c>
      <c r="F86" s="99"/>
      <c r="G86" s="84">
        <v>27200</v>
      </c>
      <c r="H86" s="99"/>
      <c r="I86" s="84">
        <v>0</v>
      </c>
      <c r="J86" s="100"/>
      <c r="K86" s="84">
        <v>27200</v>
      </c>
      <c r="L86" s="100"/>
      <c r="M86" s="84">
        <v>24600</v>
      </c>
      <c r="N86" s="100"/>
    </row>
    <row r="87" spans="1:14" ht="15" customHeight="1" x14ac:dyDescent="0.25">
      <c r="A87" s="83" t="s">
        <v>25</v>
      </c>
      <c r="B87" s="83"/>
      <c r="C87" s="83"/>
      <c r="D87" s="83"/>
      <c r="E87" s="81" t="s">
        <v>31</v>
      </c>
      <c r="F87" s="88">
        <v>3432999.9999999995</v>
      </c>
      <c r="G87" s="88"/>
      <c r="H87" s="62"/>
      <c r="I87" s="62"/>
      <c r="J87" s="83" t="s">
        <v>44</v>
      </c>
      <c r="K87" s="83"/>
      <c r="L87" s="88">
        <v>-207000.00000000047</v>
      </c>
      <c r="M87" s="88"/>
    </row>
    <row r="88" spans="1:14" ht="15" customHeight="1" x14ac:dyDescent="0.25">
      <c r="A88" s="104" t="s">
        <v>32</v>
      </c>
      <c r="B88" s="60"/>
      <c r="C88" s="61"/>
      <c r="D88" s="83" t="s">
        <v>46</v>
      </c>
      <c r="E88" s="83"/>
      <c r="F88" s="88">
        <v>3631000</v>
      </c>
      <c r="G88" s="88"/>
      <c r="H88" s="62"/>
      <c r="I88" s="62"/>
      <c r="J88" s="83" t="s">
        <v>33</v>
      </c>
      <c r="K88" s="83"/>
      <c r="L88" s="88">
        <v>3432999.9999999995</v>
      </c>
      <c r="M88" s="88"/>
    </row>
    <row r="89" spans="1:14" ht="15" customHeight="1" x14ac:dyDescent="0.25">
      <c r="A89" s="104" t="s">
        <v>30</v>
      </c>
      <c r="B89" s="60"/>
      <c r="C89" s="61"/>
      <c r="D89" s="83" t="s">
        <v>45</v>
      </c>
      <c r="E89" s="83"/>
      <c r="F89" s="66" t="s">
        <v>92</v>
      </c>
      <c r="G89" s="66"/>
      <c r="H89" s="62"/>
      <c r="I89" s="62"/>
      <c r="J89" s="61"/>
      <c r="K89" s="62"/>
      <c r="L89" s="61"/>
      <c r="M89" s="62"/>
    </row>
    <row r="90" spans="1:14" ht="15" customHeight="1" x14ac:dyDescent="0.25">
      <c r="A90" s="89" t="s">
        <v>90</v>
      </c>
      <c r="B90" s="89"/>
      <c r="C90" s="89"/>
      <c r="D90" s="89"/>
      <c r="E90" s="89"/>
      <c r="F90" s="89"/>
      <c r="G90" s="89"/>
      <c r="H90" s="89"/>
      <c r="I90" s="89"/>
      <c r="J90" s="89"/>
      <c r="K90" s="89"/>
      <c r="L90" s="89"/>
      <c r="M90" s="90">
        <v>44044</v>
      </c>
    </row>
    <row r="91" spans="1:14" ht="15" customHeight="1" x14ac:dyDescent="0.25">
      <c r="A91" s="89"/>
      <c r="B91" s="89"/>
      <c r="C91" s="89"/>
      <c r="D91" s="89"/>
      <c r="E91" s="89"/>
      <c r="F91" s="89"/>
      <c r="G91" s="89"/>
      <c r="H91" s="89"/>
      <c r="I91" s="89"/>
      <c r="J91" s="89"/>
      <c r="K91" s="89"/>
      <c r="L91" s="89"/>
      <c r="M91" s="90"/>
    </row>
    <row r="92" spans="1:14" ht="15" customHeight="1" x14ac:dyDescent="0.25">
      <c r="A92" s="89"/>
      <c r="B92" s="89"/>
      <c r="C92" s="89"/>
      <c r="D92" s="89"/>
      <c r="E92" s="89"/>
      <c r="F92" s="89"/>
      <c r="G92" s="89"/>
      <c r="H92" s="89"/>
      <c r="I92" s="89"/>
      <c r="J92" s="89"/>
      <c r="K92" s="89"/>
      <c r="L92" s="89"/>
      <c r="M92" s="90"/>
    </row>
    <row r="93" spans="1:14" ht="15.75" customHeight="1" x14ac:dyDescent="0.25">
      <c r="A93" s="91" t="s">
        <v>43</v>
      </c>
      <c r="B93" s="91"/>
      <c r="C93" s="91"/>
      <c r="D93" s="91"/>
      <c r="E93" s="91"/>
      <c r="F93" s="91"/>
      <c r="G93" s="91"/>
      <c r="H93" s="91"/>
      <c r="I93" s="91"/>
      <c r="J93" s="91"/>
      <c r="K93" s="91"/>
      <c r="L93" s="91"/>
      <c r="M93" s="91"/>
    </row>
    <row r="94" spans="1:14" ht="15.75" customHeight="1" x14ac:dyDescent="0.25">
      <c r="A94" s="91" t="s">
        <v>59</v>
      </c>
      <c r="B94" s="91"/>
      <c r="C94" s="91"/>
      <c r="D94" s="91"/>
      <c r="E94" s="91"/>
      <c r="F94" s="91" t="s">
        <v>36</v>
      </c>
      <c r="G94" s="91"/>
      <c r="H94" s="91"/>
      <c r="I94" s="91"/>
      <c r="J94" s="91"/>
      <c r="K94" s="91"/>
      <c r="L94" s="91"/>
      <c r="M94" s="91"/>
    </row>
    <row r="95" spans="1:14" ht="15.75" customHeight="1" x14ac:dyDescent="0.25">
      <c r="A95" s="83" t="s">
        <v>52</v>
      </c>
      <c r="B95" s="83"/>
      <c r="C95" s="83"/>
      <c r="D95" s="83"/>
      <c r="E95" s="83"/>
      <c r="F95" s="92">
        <v>44044</v>
      </c>
      <c r="G95" s="92"/>
      <c r="H95" s="92"/>
      <c r="I95" s="93" t="s">
        <v>35</v>
      </c>
      <c r="J95" s="94"/>
      <c r="K95" s="94"/>
      <c r="L95" s="94"/>
      <c r="M95" s="94"/>
    </row>
    <row r="96" spans="1:14" ht="15.75" customHeight="1" x14ac:dyDescent="0.25">
      <c r="A96" s="95"/>
      <c r="B96" s="95"/>
      <c r="C96" s="95"/>
      <c r="D96" s="83" t="s">
        <v>56</v>
      </c>
      <c r="E96" s="83"/>
      <c r="F96" s="83"/>
      <c r="G96" s="83" t="s">
        <v>34</v>
      </c>
      <c r="H96" s="83"/>
      <c r="I96" s="83"/>
      <c r="J96" s="83"/>
      <c r="K96" s="83"/>
      <c r="L96" s="83"/>
      <c r="M96" s="83"/>
    </row>
    <row r="97" spans="1:14" ht="15.75" customHeight="1" x14ac:dyDescent="0.25">
      <c r="A97" s="96">
        <v>44044</v>
      </c>
      <c r="B97" s="83" t="s">
        <v>27</v>
      </c>
      <c r="C97" s="94"/>
      <c r="D97" s="82" t="s">
        <v>57</v>
      </c>
      <c r="E97" s="82" t="s">
        <v>58</v>
      </c>
      <c r="F97" s="94"/>
      <c r="G97" s="83" t="s">
        <v>28</v>
      </c>
      <c r="H97" s="83"/>
      <c r="I97" s="83"/>
      <c r="J97" s="83"/>
      <c r="K97" s="83"/>
      <c r="L97" s="83"/>
      <c r="M97" s="82" t="s">
        <v>29</v>
      </c>
    </row>
    <row r="98" spans="1:14" ht="15.75" customHeight="1" x14ac:dyDescent="0.25">
      <c r="A98" s="97">
        <v>44044</v>
      </c>
      <c r="B98" s="83" t="s">
        <v>42</v>
      </c>
      <c r="C98" s="94"/>
      <c r="D98" s="81" t="s">
        <v>40</v>
      </c>
      <c r="E98" s="81" t="s">
        <v>41</v>
      </c>
      <c r="F98" s="60"/>
      <c r="G98" s="81" t="s">
        <v>37</v>
      </c>
      <c r="H98" s="81"/>
      <c r="I98" s="81" t="s">
        <v>38</v>
      </c>
      <c r="J98" s="81"/>
      <c r="K98" s="81" t="s">
        <v>39</v>
      </c>
      <c r="L98" s="81"/>
      <c r="M98" s="81"/>
    </row>
    <row r="99" spans="1:14" ht="15" customHeight="1" x14ac:dyDescent="0.25">
      <c r="A99" s="98">
        <v>44044</v>
      </c>
      <c r="B99" s="32">
        <v>1420.54</v>
      </c>
      <c r="C99" s="14"/>
      <c r="D99" s="32">
        <v>0</v>
      </c>
      <c r="E99" s="84">
        <v>500</v>
      </c>
      <c r="F99" s="14" t="s">
        <v>66</v>
      </c>
      <c r="G99" s="84">
        <v>16300</v>
      </c>
      <c r="H99" s="14"/>
      <c r="I99" s="84">
        <v>0</v>
      </c>
      <c r="J99" s="14" t="s">
        <v>65</v>
      </c>
      <c r="K99" s="84">
        <v>16300</v>
      </c>
      <c r="L99" s="14"/>
      <c r="M99" s="84">
        <v>26000</v>
      </c>
      <c r="N99" s="14"/>
    </row>
    <row r="100" spans="1:14" ht="15" customHeight="1" x14ac:dyDescent="0.25">
      <c r="A100" s="98">
        <v>44045</v>
      </c>
      <c r="B100" s="32">
        <v>1420.8</v>
      </c>
      <c r="C100" s="14"/>
      <c r="D100" s="32">
        <v>0</v>
      </c>
      <c r="E100" s="84">
        <v>500</v>
      </c>
      <c r="F100" s="14"/>
      <c r="G100" s="84">
        <v>15500</v>
      </c>
      <c r="H100" s="14"/>
      <c r="I100" s="84">
        <v>0</v>
      </c>
      <c r="J100" s="14" t="s">
        <v>66</v>
      </c>
      <c r="K100" s="84">
        <v>15500</v>
      </c>
      <c r="L100" s="14"/>
      <c r="M100" s="84">
        <v>24000</v>
      </c>
      <c r="N100" s="14"/>
    </row>
    <row r="101" spans="1:14" ht="15" customHeight="1" x14ac:dyDescent="0.25">
      <c r="A101" s="98">
        <v>44046</v>
      </c>
      <c r="B101" s="32">
        <v>1420.57</v>
      </c>
      <c r="C101" s="14"/>
      <c r="D101" s="32">
        <v>0</v>
      </c>
      <c r="E101" s="84">
        <v>500</v>
      </c>
      <c r="F101" s="14"/>
      <c r="G101" s="84">
        <v>30100</v>
      </c>
      <c r="H101" s="14"/>
      <c r="I101" s="84">
        <v>0</v>
      </c>
      <c r="J101" s="14"/>
      <c r="K101" s="84">
        <v>30100</v>
      </c>
      <c r="L101" s="14"/>
      <c r="M101" s="84">
        <v>24000</v>
      </c>
      <c r="N101" s="14"/>
    </row>
    <row r="102" spans="1:14" ht="15" customHeight="1" x14ac:dyDescent="0.25">
      <c r="A102" s="98">
        <v>44047</v>
      </c>
      <c r="B102" s="32">
        <v>1420.44</v>
      </c>
      <c r="C102" s="14"/>
      <c r="D102" s="32">
        <v>0</v>
      </c>
      <c r="E102" s="84">
        <v>500</v>
      </c>
      <c r="F102" s="14"/>
      <c r="G102" s="84">
        <v>30400.000000000004</v>
      </c>
      <c r="H102" s="14" t="s">
        <v>65</v>
      </c>
      <c r="I102" s="84">
        <v>0</v>
      </c>
      <c r="J102" s="14"/>
      <c r="K102" s="84">
        <v>30400.000000000004</v>
      </c>
      <c r="L102" s="14" t="s">
        <v>65</v>
      </c>
      <c r="M102" s="84">
        <v>26000</v>
      </c>
      <c r="N102" s="14"/>
    </row>
    <row r="103" spans="1:14" ht="15" customHeight="1" x14ac:dyDescent="0.25">
      <c r="A103" s="98">
        <v>44048</v>
      </c>
      <c r="B103" s="32">
        <v>1420.33</v>
      </c>
      <c r="C103" s="14"/>
      <c r="D103" s="32">
        <v>0</v>
      </c>
      <c r="E103" s="84">
        <v>500</v>
      </c>
      <c r="F103" s="14"/>
      <c r="G103" s="84">
        <v>29800.000000000004</v>
      </c>
      <c r="H103" s="14"/>
      <c r="I103" s="84">
        <v>0</v>
      </c>
      <c r="J103" s="14"/>
      <c r="K103" s="84">
        <v>29800.000000000004</v>
      </c>
      <c r="L103" s="14"/>
      <c r="M103" s="84">
        <v>26000</v>
      </c>
      <c r="N103" s="14"/>
    </row>
    <row r="104" spans="1:14" ht="15" customHeight="1" x14ac:dyDescent="0.25">
      <c r="A104" s="98">
        <v>44049</v>
      </c>
      <c r="B104" s="32">
        <v>1420.2</v>
      </c>
      <c r="C104" s="14" t="s">
        <v>66</v>
      </c>
      <c r="D104" s="32">
        <v>0</v>
      </c>
      <c r="E104" s="84">
        <v>500</v>
      </c>
      <c r="F104" s="14"/>
      <c r="G104" s="84">
        <v>30200.000000000004</v>
      </c>
      <c r="H104" s="14"/>
      <c r="I104" s="84">
        <v>0</v>
      </c>
      <c r="J104" s="14"/>
      <c r="K104" s="84">
        <v>30200.000000000004</v>
      </c>
      <c r="L104" s="14"/>
      <c r="M104" s="84">
        <v>27000.000000000004</v>
      </c>
      <c r="N104" s="14"/>
    </row>
    <row r="105" spans="1:14" ht="15" customHeight="1" x14ac:dyDescent="0.25">
      <c r="A105" s="98">
        <v>44050</v>
      </c>
      <c r="B105" s="32">
        <v>1420.23</v>
      </c>
      <c r="C105" s="14"/>
      <c r="D105" s="32">
        <v>0</v>
      </c>
      <c r="E105" s="84">
        <v>500</v>
      </c>
      <c r="F105" s="14"/>
      <c r="G105" s="84">
        <v>27500.000000000004</v>
      </c>
      <c r="H105" s="14"/>
      <c r="I105" s="84">
        <v>0</v>
      </c>
      <c r="J105" s="14"/>
      <c r="K105" s="84">
        <v>27500.000000000004</v>
      </c>
      <c r="L105" s="14"/>
      <c r="M105" s="84">
        <v>29000.000000000004</v>
      </c>
      <c r="N105" s="14" t="s">
        <v>65</v>
      </c>
    </row>
    <row r="106" spans="1:14" ht="15" customHeight="1" x14ac:dyDescent="0.25">
      <c r="A106" s="98">
        <v>44051</v>
      </c>
      <c r="B106" s="32">
        <v>1420.68</v>
      </c>
      <c r="C106" s="14"/>
      <c r="D106" s="32">
        <v>0</v>
      </c>
      <c r="E106" s="84">
        <v>600</v>
      </c>
      <c r="F106" s="14" t="s">
        <v>65</v>
      </c>
      <c r="G106" s="84">
        <v>12900</v>
      </c>
      <c r="H106" s="14"/>
      <c r="I106" s="84">
        <v>0</v>
      </c>
      <c r="J106" s="14"/>
      <c r="K106" s="84">
        <v>12900</v>
      </c>
      <c r="L106" s="14"/>
      <c r="M106" s="84">
        <v>26000</v>
      </c>
      <c r="N106" s="14"/>
    </row>
    <row r="107" spans="1:14" ht="15" customHeight="1" x14ac:dyDescent="0.25">
      <c r="A107" s="98">
        <v>44052</v>
      </c>
      <c r="B107" s="32">
        <v>1421.1099999999997</v>
      </c>
      <c r="C107" s="14" t="s">
        <v>65</v>
      </c>
      <c r="D107" s="32">
        <v>0</v>
      </c>
      <c r="E107" s="84">
        <v>600</v>
      </c>
      <c r="F107" s="14"/>
      <c r="G107" s="84">
        <v>11900</v>
      </c>
      <c r="H107" s="14"/>
      <c r="I107" s="84">
        <v>0</v>
      </c>
      <c r="J107" s="14"/>
      <c r="K107" s="84">
        <v>11900</v>
      </c>
      <c r="L107" s="14"/>
      <c r="M107" s="84">
        <v>26000</v>
      </c>
      <c r="N107" s="14"/>
    </row>
    <row r="108" spans="1:14" ht="15" customHeight="1" x14ac:dyDescent="0.25">
      <c r="A108" s="98">
        <v>44053</v>
      </c>
      <c r="B108" s="32">
        <v>1421</v>
      </c>
      <c r="C108" s="14"/>
      <c r="D108" s="32">
        <v>0</v>
      </c>
      <c r="E108" s="84">
        <v>600</v>
      </c>
      <c r="F108" s="14"/>
      <c r="G108" s="84">
        <v>27600</v>
      </c>
      <c r="H108" s="14"/>
      <c r="I108" s="84">
        <v>0</v>
      </c>
      <c r="J108" s="14"/>
      <c r="K108" s="84">
        <v>27600</v>
      </c>
      <c r="L108" s="14"/>
      <c r="M108" s="84">
        <v>25000.000000000004</v>
      </c>
      <c r="N108" s="14"/>
    </row>
    <row r="109" spans="1:14" ht="15" customHeight="1" x14ac:dyDescent="0.25">
      <c r="A109" s="98">
        <v>44054</v>
      </c>
      <c r="B109" s="32">
        <v>1420.8</v>
      </c>
      <c r="C109" s="14"/>
      <c r="D109" s="32">
        <v>0</v>
      </c>
      <c r="E109" s="84">
        <v>600</v>
      </c>
      <c r="F109" s="14"/>
      <c r="G109" s="84">
        <v>27500.000000000004</v>
      </c>
      <c r="H109" s="14"/>
      <c r="I109" s="84">
        <v>0</v>
      </c>
      <c r="J109" s="14"/>
      <c r="K109" s="84">
        <v>27500.000000000004</v>
      </c>
      <c r="L109" s="14"/>
      <c r="M109" s="84">
        <v>26000</v>
      </c>
      <c r="N109" s="14"/>
    </row>
    <row r="110" spans="1:14" ht="15" customHeight="1" x14ac:dyDescent="0.25">
      <c r="A110" s="98">
        <v>44055</v>
      </c>
      <c r="B110" s="32">
        <v>1420.77</v>
      </c>
      <c r="C110" s="14"/>
      <c r="D110" s="32">
        <v>0</v>
      </c>
      <c r="E110" s="84">
        <v>600</v>
      </c>
      <c r="F110" s="14"/>
      <c r="G110" s="84">
        <v>27700.000000000004</v>
      </c>
      <c r="H110" s="14"/>
      <c r="I110" s="84">
        <v>0</v>
      </c>
      <c r="J110" s="14"/>
      <c r="K110" s="84">
        <v>27700.000000000004</v>
      </c>
      <c r="L110" s="14"/>
      <c r="M110" s="84">
        <v>26000</v>
      </c>
      <c r="N110" s="14"/>
    </row>
    <row r="111" spans="1:14" ht="15" customHeight="1" x14ac:dyDescent="0.25">
      <c r="A111" s="98">
        <v>44056</v>
      </c>
      <c r="B111" s="32">
        <v>1420.67</v>
      </c>
      <c r="C111" s="14"/>
      <c r="D111" s="32">
        <v>0</v>
      </c>
      <c r="E111" s="84">
        <v>600</v>
      </c>
      <c r="F111" s="14"/>
      <c r="G111" s="84">
        <v>28000.000000000004</v>
      </c>
      <c r="H111" s="14"/>
      <c r="I111" s="84">
        <v>0</v>
      </c>
      <c r="J111" s="14"/>
      <c r="K111" s="84">
        <v>28000.000000000004</v>
      </c>
      <c r="L111" s="14"/>
      <c r="M111" s="84">
        <v>26000</v>
      </c>
      <c r="N111" s="14"/>
    </row>
    <row r="112" spans="1:14" ht="15" customHeight="1" x14ac:dyDescent="0.25">
      <c r="A112" s="98">
        <v>44057</v>
      </c>
      <c r="B112" s="32">
        <v>1420.59</v>
      </c>
      <c r="C112" s="14"/>
      <c r="D112" s="32">
        <v>0</v>
      </c>
      <c r="E112" s="84">
        <v>600</v>
      </c>
      <c r="F112" s="14"/>
      <c r="G112" s="84">
        <v>27900.000000000004</v>
      </c>
      <c r="H112" s="14"/>
      <c r="I112" s="84">
        <v>0</v>
      </c>
      <c r="J112" s="14"/>
      <c r="K112" s="84">
        <v>27900.000000000004</v>
      </c>
      <c r="L112" s="14"/>
      <c r="M112" s="84">
        <v>25000.000000000004</v>
      </c>
      <c r="N112" s="14"/>
    </row>
    <row r="113" spans="1:14" ht="15" customHeight="1" x14ac:dyDescent="0.25">
      <c r="A113" s="98">
        <v>44058</v>
      </c>
      <c r="B113" s="32">
        <v>1420.73</v>
      </c>
      <c r="C113" s="14"/>
      <c r="D113" s="32">
        <v>0</v>
      </c>
      <c r="E113" s="84">
        <v>600</v>
      </c>
      <c r="F113" s="14"/>
      <c r="G113" s="84">
        <v>16300</v>
      </c>
      <c r="H113" s="14"/>
      <c r="I113" s="84">
        <v>0</v>
      </c>
      <c r="J113" s="14"/>
      <c r="K113" s="84">
        <v>16300</v>
      </c>
      <c r="L113" s="14"/>
      <c r="M113" s="84">
        <v>19000</v>
      </c>
      <c r="N113" s="14" t="s">
        <v>66</v>
      </c>
    </row>
    <row r="114" spans="1:14" ht="15" customHeight="1" x14ac:dyDescent="0.25">
      <c r="A114" s="98">
        <v>44059</v>
      </c>
      <c r="B114" s="32">
        <v>1420.94</v>
      </c>
      <c r="C114" s="14"/>
      <c r="D114" s="32">
        <v>0</v>
      </c>
      <c r="E114" s="84">
        <v>600</v>
      </c>
      <c r="F114" s="14"/>
      <c r="G114" s="84">
        <v>14200.000000000002</v>
      </c>
      <c r="H114" s="14"/>
      <c r="I114" s="84">
        <v>0</v>
      </c>
      <c r="J114" s="14"/>
      <c r="K114" s="84">
        <v>14200.000000000002</v>
      </c>
      <c r="L114" s="14"/>
      <c r="M114" s="84">
        <v>21000</v>
      </c>
      <c r="N114" s="14"/>
    </row>
    <row r="115" spans="1:14" ht="15" customHeight="1" x14ac:dyDescent="0.25">
      <c r="A115" s="98">
        <v>44060</v>
      </c>
      <c r="B115" s="32">
        <v>1420.7</v>
      </c>
      <c r="C115" s="14"/>
      <c r="D115" s="32">
        <v>0</v>
      </c>
      <c r="E115" s="84">
        <v>600</v>
      </c>
      <c r="F115" s="14"/>
      <c r="G115" s="84">
        <v>28100.000000000004</v>
      </c>
      <c r="H115" s="14"/>
      <c r="I115" s="84">
        <v>0</v>
      </c>
      <c r="J115" s="14"/>
      <c r="K115" s="84">
        <v>28100.000000000004</v>
      </c>
      <c r="L115" s="14"/>
      <c r="M115" s="84">
        <v>23000.000000000004</v>
      </c>
      <c r="N115" s="14"/>
    </row>
    <row r="116" spans="1:14" ht="15" customHeight="1" x14ac:dyDescent="0.25">
      <c r="A116" s="98">
        <v>44061</v>
      </c>
      <c r="B116" s="32">
        <v>1420.62</v>
      </c>
      <c r="C116" s="14"/>
      <c r="D116" s="32">
        <v>0</v>
      </c>
      <c r="E116" s="84">
        <v>600</v>
      </c>
      <c r="F116" s="14"/>
      <c r="G116" s="84">
        <v>27800</v>
      </c>
      <c r="H116" s="14"/>
      <c r="I116" s="84">
        <v>0</v>
      </c>
      <c r="J116" s="14"/>
      <c r="K116" s="84">
        <v>27800</v>
      </c>
      <c r="L116" s="14"/>
      <c r="M116" s="84">
        <v>26000</v>
      </c>
      <c r="N116" s="14"/>
    </row>
    <row r="117" spans="1:14" ht="15" customHeight="1" x14ac:dyDescent="0.25">
      <c r="A117" s="98">
        <v>44062</v>
      </c>
      <c r="B117" s="32">
        <v>1420.5499999999997</v>
      </c>
      <c r="C117" s="14"/>
      <c r="D117" s="32">
        <v>0</v>
      </c>
      <c r="E117" s="84">
        <v>600</v>
      </c>
      <c r="F117" s="14"/>
      <c r="G117" s="84">
        <v>28100.000000000004</v>
      </c>
      <c r="H117" s="14"/>
      <c r="I117" s="84">
        <v>0</v>
      </c>
      <c r="J117" s="14"/>
      <c r="K117" s="84">
        <v>28100.000000000004</v>
      </c>
      <c r="L117" s="14"/>
      <c r="M117" s="84">
        <v>26000</v>
      </c>
      <c r="N117" s="14"/>
    </row>
    <row r="118" spans="1:14" ht="15" customHeight="1" x14ac:dyDescent="0.25">
      <c r="A118" s="98">
        <v>44063</v>
      </c>
      <c r="B118" s="32">
        <v>1420.44</v>
      </c>
      <c r="C118" s="14"/>
      <c r="D118" s="32">
        <v>0</v>
      </c>
      <c r="E118" s="84">
        <v>600</v>
      </c>
      <c r="F118" s="14"/>
      <c r="G118" s="84">
        <v>27500.000000000004</v>
      </c>
      <c r="H118" s="14"/>
      <c r="I118" s="84">
        <v>0</v>
      </c>
      <c r="J118" s="14"/>
      <c r="K118" s="84">
        <v>27500.000000000004</v>
      </c>
      <c r="L118" s="14"/>
      <c r="M118" s="84">
        <v>25000.000000000004</v>
      </c>
      <c r="N118" s="14"/>
    </row>
    <row r="119" spans="1:14" ht="15" customHeight="1" x14ac:dyDescent="0.25">
      <c r="A119" s="98">
        <v>44064</v>
      </c>
      <c r="B119" s="32">
        <v>1420.38</v>
      </c>
      <c r="C119" s="14"/>
      <c r="D119" s="32">
        <v>0</v>
      </c>
      <c r="E119" s="84">
        <v>600</v>
      </c>
      <c r="F119" s="14"/>
      <c r="G119" s="84">
        <v>28100.000000000004</v>
      </c>
      <c r="H119" s="14"/>
      <c r="I119" s="84">
        <v>0</v>
      </c>
      <c r="J119" s="14"/>
      <c r="K119" s="84">
        <v>28100.000000000004</v>
      </c>
      <c r="L119" s="14"/>
      <c r="M119" s="84">
        <v>25000.000000000004</v>
      </c>
      <c r="N119" s="14"/>
    </row>
    <row r="120" spans="1:14" ht="15" customHeight="1" x14ac:dyDescent="0.25">
      <c r="A120" s="98">
        <v>44065</v>
      </c>
      <c r="B120" s="32">
        <v>1420.6899999999998</v>
      </c>
      <c r="C120" s="14"/>
      <c r="D120" s="32">
        <v>0</v>
      </c>
      <c r="E120" s="84">
        <v>600</v>
      </c>
      <c r="F120" s="14"/>
      <c r="G120" s="84">
        <v>13500.000000000002</v>
      </c>
      <c r="H120" s="14"/>
      <c r="I120" s="84">
        <v>0</v>
      </c>
      <c r="J120" s="14"/>
      <c r="K120" s="84">
        <v>13500.000000000002</v>
      </c>
      <c r="L120" s="14"/>
      <c r="M120" s="84">
        <v>24000</v>
      </c>
      <c r="N120" s="14"/>
    </row>
    <row r="121" spans="1:14" ht="15" customHeight="1" x14ac:dyDescent="0.25">
      <c r="A121" s="98">
        <v>44066</v>
      </c>
      <c r="B121" s="32">
        <v>1420.9499999999998</v>
      </c>
      <c r="C121" s="14"/>
      <c r="D121" s="32">
        <v>0</v>
      </c>
      <c r="E121" s="84">
        <v>600</v>
      </c>
      <c r="F121" s="14"/>
      <c r="G121" s="84">
        <v>11400</v>
      </c>
      <c r="H121" s="14" t="s">
        <v>66</v>
      </c>
      <c r="I121" s="84">
        <v>0</v>
      </c>
      <c r="J121" s="14"/>
      <c r="K121" s="84">
        <v>11400</v>
      </c>
      <c r="L121" s="14" t="s">
        <v>66</v>
      </c>
      <c r="M121" s="84">
        <v>21000</v>
      </c>
      <c r="N121" s="14"/>
    </row>
    <row r="122" spans="1:14" ht="15" customHeight="1" x14ac:dyDescent="0.25">
      <c r="A122" s="98">
        <v>44067</v>
      </c>
      <c r="B122" s="32">
        <v>1420.91</v>
      </c>
      <c r="C122" s="14"/>
      <c r="D122" s="32">
        <v>0</v>
      </c>
      <c r="E122" s="84">
        <v>600</v>
      </c>
      <c r="F122" s="14"/>
      <c r="G122" s="84">
        <v>27200.000000000004</v>
      </c>
      <c r="H122" s="14"/>
      <c r="I122" s="84">
        <v>0</v>
      </c>
      <c r="J122" s="14"/>
      <c r="K122" s="84">
        <v>27200.000000000004</v>
      </c>
      <c r="L122" s="14"/>
      <c r="M122" s="84">
        <v>24000</v>
      </c>
      <c r="N122" s="14"/>
    </row>
    <row r="123" spans="1:14" ht="15" customHeight="1" x14ac:dyDescent="0.25">
      <c r="A123" s="98">
        <v>44068</v>
      </c>
      <c r="B123" s="32">
        <v>1420.79</v>
      </c>
      <c r="C123" s="14"/>
      <c r="D123" s="32">
        <v>0</v>
      </c>
      <c r="E123" s="84">
        <v>600</v>
      </c>
      <c r="F123" s="14"/>
      <c r="G123" s="84">
        <v>26800.000000000004</v>
      </c>
      <c r="H123" s="14"/>
      <c r="I123" s="84">
        <v>0</v>
      </c>
      <c r="J123" s="14"/>
      <c r="K123" s="84">
        <v>26800.000000000004</v>
      </c>
      <c r="L123" s="14"/>
      <c r="M123" s="84">
        <v>25000.000000000004</v>
      </c>
      <c r="N123" s="14"/>
    </row>
    <row r="124" spans="1:14" ht="15.75" customHeight="1" x14ac:dyDescent="0.25">
      <c r="A124" s="98">
        <v>44069</v>
      </c>
      <c r="B124" s="32">
        <v>1420.73</v>
      </c>
      <c r="C124" s="14"/>
      <c r="D124" s="32">
        <v>0</v>
      </c>
      <c r="E124" s="84">
        <v>600</v>
      </c>
      <c r="F124" s="14"/>
      <c r="G124" s="84">
        <v>27400</v>
      </c>
      <c r="H124" s="14"/>
      <c r="I124" s="84">
        <v>0</v>
      </c>
      <c r="J124" s="14"/>
      <c r="K124" s="84">
        <v>27400</v>
      </c>
      <c r="L124" s="14"/>
      <c r="M124" s="84">
        <v>25000.000000000004</v>
      </c>
      <c r="N124" s="14"/>
    </row>
    <row r="125" spans="1:14" ht="15.75" customHeight="1" x14ac:dyDescent="0.25">
      <c r="A125" s="98">
        <v>44070</v>
      </c>
      <c r="B125" s="32">
        <v>1420.85</v>
      </c>
      <c r="C125" s="14"/>
      <c r="D125" s="32">
        <v>0</v>
      </c>
      <c r="E125" s="84">
        <v>600</v>
      </c>
      <c r="F125" s="14"/>
      <c r="G125" s="84">
        <v>29000.000000000004</v>
      </c>
      <c r="H125" s="14"/>
      <c r="I125" s="84">
        <v>0</v>
      </c>
      <c r="J125" s="14"/>
      <c r="K125" s="84">
        <v>29000.000000000004</v>
      </c>
      <c r="L125" s="14"/>
      <c r="M125" s="84">
        <v>27000.000000000004</v>
      </c>
      <c r="N125" s="14"/>
    </row>
    <row r="126" spans="1:14" ht="15" customHeight="1" x14ac:dyDescent="0.25">
      <c r="A126" s="98">
        <v>44071</v>
      </c>
      <c r="B126" s="32">
        <v>1420.59</v>
      </c>
      <c r="C126" s="14"/>
      <c r="D126" s="32">
        <v>0</v>
      </c>
      <c r="E126" s="84">
        <v>600</v>
      </c>
      <c r="F126" s="14"/>
      <c r="G126" s="84">
        <v>29500.000000000004</v>
      </c>
      <c r="H126" s="14"/>
      <c r="I126" s="84">
        <v>0</v>
      </c>
      <c r="J126" s="14"/>
      <c r="K126" s="84">
        <v>29500.000000000004</v>
      </c>
      <c r="L126" s="14"/>
      <c r="M126" s="84">
        <v>27000.000000000004</v>
      </c>
      <c r="N126" s="14"/>
    </row>
    <row r="127" spans="1:14" ht="15" customHeight="1" x14ac:dyDescent="0.25">
      <c r="A127" s="98">
        <v>44072</v>
      </c>
      <c r="B127" s="32">
        <v>1420.76</v>
      </c>
      <c r="C127" s="14"/>
      <c r="D127" s="32">
        <v>0</v>
      </c>
      <c r="E127" s="84">
        <v>600</v>
      </c>
      <c r="F127" s="14"/>
      <c r="G127" s="84">
        <v>15900.000000000002</v>
      </c>
      <c r="H127" s="14"/>
      <c r="I127" s="84">
        <v>0</v>
      </c>
      <c r="J127" s="14"/>
      <c r="K127" s="84">
        <v>15900.000000000002</v>
      </c>
      <c r="L127" s="14"/>
      <c r="M127" s="84">
        <v>26000</v>
      </c>
      <c r="N127" s="14"/>
    </row>
    <row r="128" spans="1:14" ht="15" customHeight="1" x14ac:dyDescent="0.25">
      <c r="A128" s="98">
        <v>44073</v>
      </c>
      <c r="B128" s="32">
        <v>1421.07</v>
      </c>
      <c r="C128" s="14"/>
      <c r="D128" s="32">
        <v>0</v>
      </c>
      <c r="E128" s="84">
        <v>600</v>
      </c>
      <c r="F128" s="14"/>
      <c r="G128" s="84">
        <v>19600.000000000004</v>
      </c>
      <c r="H128" s="14"/>
      <c r="I128" s="84">
        <v>0</v>
      </c>
      <c r="J128" s="14"/>
      <c r="K128" s="84">
        <v>19600.000000000004</v>
      </c>
      <c r="L128" s="14"/>
      <c r="M128" s="84">
        <v>24000</v>
      </c>
      <c r="N128" s="14"/>
    </row>
    <row r="129" spans="1:14" ht="15" customHeight="1" x14ac:dyDescent="0.25">
      <c r="A129" s="98">
        <v>44074</v>
      </c>
      <c r="B129" s="32">
        <v>1420.7</v>
      </c>
      <c r="C129" s="14"/>
      <c r="D129" s="32">
        <v>0</v>
      </c>
      <c r="E129" s="84">
        <v>600</v>
      </c>
      <c r="F129" s="14"/>
      <c r="G129" s="84">
        <v>29800.000000000004</v>
      </c>
      <c r="H129" s="14"/>
      <c r="I129" s="84">
        <v>0</v>
      </c>
      <c r="J129" s="14"/>
      <c r="K129" s="84">
        <v>29800.000000000004</v>
      </c>
      <c r="L129" s="14"/>
      <c r="M129" s="84">
        <v>24000</v>
      </c>
      <c r="N129" s="14"/>
    </row>
    <row r="130" spans="1:14" ht="15" customHeight="1" x14ac:dyDescent="0.25">
      <c r="A130" s="83" t="s">
        <v>0</v>
      </c>
      <c r="B130" s="83"/>
      <c r="C130" s="83"/>
      <c r="D130" s="32">
        <v>0</v>
      </c>
      <c r="E130" s="84">
        <v>17900</v>
      </c>
      <c r="F130" s="99"/>
      <c r="G130" s="84">
        <v>743500</v>
      </c>
      <c r="H130" s="99"/>
      <c r="I130" s="84">
        <v>0</v>
      </c>
      <c r="J130" s="100"/>
      <c r="K130" s="84">
        <v>743500</v>
      </c>
      <c r="L130" s="100"/>
      <c r="M130" s="84">
        <v>774000</v>
      </c>
      <c r="N130" s="100"/>
    </row>
    <row r="131" spans="1:14" ht="15" customHeight="1" x14ac:dyDescent="0.25">
      <c r="A131" s="83" t="s">
        <v>1</v>
      </c>
      <c r="B131" s="83"/>
      <c r="C131" s="83"/>
      <c r="D131" s="101"/>
      <c r="E131" s="84">
        <v>35500</v>
      </c>
      <c r="F131" s="99"/>
      <c r="G131" s="84">
        <v>1475000</v>
      </c>
      <c r="H131" s="99"/>
      <c r="I131" s="84">
        <v>0</v>
      </c>
      <c r="J131" s="100"/>
      <c r="K131" s="84">
        <v>1475000</v>
      </c>
      <c r="L131" s="100"/>
      <c r="M131" s="84">
        <v>1535000</v>
      </c>
      <c r="N131" s="100"/>
    </row>
    <row r="132" spans="1:14" ht="15" customHeight="1" x14ac:dyDescent="0.25">
      <c r="A132" s="102" t="s">
        <v>2</v>
      </c>
      <c r="B132" s="32">
        <v>1420.6816129032256</v>
      </c>
      <c r="C132" s="103"/>
      <c r="D132" s="32">
        <v>0</v>
      </c>
      <c r="E132" s="84">
        <v>600</v>
      </c>
      <c r="F132" s="99"/>
      <c r="G132" s="84">
        <v>24000</v>
      </c>
      <c r="H132" s="99"/>
      <c r="I132" s="84">
        <v>0</v>
      </c>
      <c r="J132" s="100"/>
      <c r="K132" s="84">
        <v>24000</v>
      </c>
      <c r="L132" s="100"/>
      <c r="M132" s="84">
        <v>25000</v>
      </c>
      <c r="N132" s="100"/>
    </row>
    <row r="133" spans="1:14" ht="15" customHeight="1" x14ac:dyDescent="0.25">
      <c r="A133" s="83" t="s">
        <v>25</v>
      </c>
      <c r="B133" s="83"/>
      <c r="C133" s="83"/>
      <c r="D133" s="83"/>
      <c r="E133" s="81" t="s">
        <v>31</v>
      </c>
      <c r="F133" s="88">
        <v>1674000</v>
      </c>
      <c r="G133" s="88"/>
      <c r="H133" s="62"/>
      <c r="I133" s="62"/>
      <c r="J133" s="83" t="s">
        <v>44</v>
      </c>
      <c r="K133" s="83"/>
      <c r="L133" s="88">
        <v>25000</v>
      </c>
      <c r="M133" s="88"/>
    </row>
    <row r="134" spans="1:14" ht="15" customHeight="1" x14ac:dyDescent="0.25">
      <c r="A134" s="104" t="s">
        <v>32</v>
      </c>
      <c r="B134" s="60"/>
      <c r="C134" s="61"/>
      <c r="D134" s="83" t="s">
        <v>46</v>
      </c>
      <c r="E134" s="83"/>
      <c r="F134" s="88">
        <v>1697000</v>
      </c>
      <c r="G134" s="88"/>
      <c r="H134" s="62"/>
      <c r="I134" s="62"/>
      <c r="J134" s="83" t="s">
        <v>33</v>
      </c>
      <c r="K134" s="83"/>
      <c r="L134" s="88">
        <v>1642999.9999999998</v>
      </c>
      <c r="M134" s="88"/>
    </row>
    <row r="135" spans="1:14" ht="15" customHeight="1" x14ac:dyDescent="0.25">
      <c r="A135" s="104" t="s">
        <v>30</v>
      </c>
      <c r="B135" s="60"/>
      <c r="C135" s="61"/>
      <c r="D135" s="83" t="s">
        <v>45</v>
      </c>
      <c r="E135" s="83"/>
      <c r="F135" s="66" t="s">
        <v>93</v>
      </c>
      <c r="G135" s="66"/>
      <c r="H135" s="62"/>
      <c r="I135" s="62"/>
      <c r="J135" s="61"/>
      <c r="K135" s="62"/>
      <c r="L135" s="61"/>
      <c r="M135" s="62"/>
    </row>
    <row r="136" spans="1:14" ht="15" customHeight="1" x14ac:dyDescent="0.25">
      <c r="A136" s="89" t="s">
        <v>90</v>
      </c>
      <c r="B136" s="89"/>
      <c r="C136" s="89"/>
      <c r="D136" s="89"/>
      <c r="E136" s="89"/>
      <c r="F136" s="89"/>
      <c r="G136" s="89"/>
      <c r="H136" s="89"/>
      <c r="I136" s="89"/>
      <c r="J136" s="89"/>
      <c r="K136" s="89"/>
      <c r="L136" s="89"/>
      <c r="M136" s="90">
        <v>44044</v>
      </c>
    </row>
    <row r="137" spans="1:14" ht="15" customHeight="1" x14ac:dyDescent="0.25">
      <c r="A137" s="89"/>
      <c r="B137" s="89"/>
      <c r="C137" s="89"/>
      <c r="D137" s="89"/>
      <c r="E137" s="89"/>
      <c r="F137" s="89"/>
      <c r="G137" s="89"/>
      <c r="H137" s="89"/>
      <c r="I137" s="89"/>
      <c r="J137" s="89"/>
      <c r="K137" s="89"/>
      <c r="L137" s="89"/>
      <c r="M137" s="90"/>
    </row>
    <row r="138" spans="1:14" ht="15" customHeight="1" x14ac:dyDescent="0.25">
      <c r="A138" s="89"/>
      <c r="B138" s="89"/>
      <c r="C138" s="89"/>
      <c r="D138" s="89"/>
      <c r="E138" s="89"/>
      <c r="F138" s="89"/>
      <c r="G138" s="89"/>
      <c r="H138" s="89"/>
      <c r="I138" s="89"/>
      <c r="J138" s="89"/>
      <c r="K138" s="89"/>
      <c r="L138" s="89"/>
      <c r="M138" s="90"/>
    </row>
    <row r="139" spans="1:14" ht="15.75" customHeight="1" x14ac:dyDescent="0.25">
      <c r="A139" s="91" t="s">
        <v>43</v>
      </c>
      <c r="B139" s="91"/>
      <c r="C139" s="91"/>
      <c r="D139" s="91"/>
      <c r="E139" s="91"/>
      <c r="F139" s="91"/>
      <c r="G139" s="91"/>
      <c r="H139" s="91"/>
      <c r="I139" s="91"/>
      <c r="J139" s="91"/>
      <c r="K139" s="91"/>
      <c r="L139" s="91"/>
      <c r="M139" s="91"/>
    </row>
    <row r="140" spans="1:14" ht="15.75" customHeight="1" x14ac:dyDescent="0.25">
      <c r="A140" s="91" t="s">
        <v>26</v>
      </c>
      <c r="B140" s="91"/>
      <c r="C140" s="91"/>
      <c r="D140" s="91"/>
      <c r="E140" s="91"/>
      <c r="F140" s="91" t="s">
        <v>36</v>
      </c>
      <c r="G140" s="91"/>
      <c r="H140" s="91"/>
      <c r="I140" s="91"/>
      <c r="J140" s="91"/>
      <c r="K140" s="91"/>
      <c r="L140" s="91"/>
      <c r="M140" s="91"/>
    </row>
    <row r="141" spans="1:14" ht="15.75" customHeight="1" x14ac:dyDescent="0.25">
      <c r="A141" s="83" t="s">
        <v>52</v>
      </c>
      <c r="B141" s="83"/>
      <c r="C141" s="83"/>
      <c r="D141" s="83"/>
      <c r="E141" s="83"/>
      <c r="F141" s="92">
        <v>44044</v>
      </c>
      <c r="G141" s="92"/>
      <c r="H141" s="92"/>
      <c r="I141" s="93" t="s">
        <v>35</v>
      </c>
      <c r="J141" s="94"/>
      <c r="K141" s="94"/>
      <c r="L141" s="94"/>
      <c r="M141" s="94"/>
    </row>
    <row r="142" spans="1:14" ht="15" customHeight="1" x14ac:dyDescent="0.25">
      <c r="A142" s="95"/>
      <c r="B142" s="95"/>
      <c r="C142" s="95"/>
      <c r="D142" s="83" t="s">
        <v>56</v>
      </c>
      <c r="E142" s="83"/>
      <c r="F142" s="83"/>
      <c r="G142" s="83" t="s">
        <v>34</v>
      </c>
      <c r="H142" s="83"/>
      <c r="I142" s="83"/>
      <c r="J142" s="83"/>
      <c r="K142" s="83"/>
      <c r="L142" s="83"/>
      <c r="M142" s="83"/>
    </row>
    <row r="143" spans="1:14" ht="15" customHeight="1" x14ac:dyDescent="0.25">
      <c r="A143" s="96">
        <v>44044</v>
      </c>
      <c r="B143" s="83" t="s">
        <v>27</v>
      </c>
      <c r="C143" s="94"/>
      <c r="D143" s="82" t="s">
        <v>57</v>
      </c>
      <c r="E143" s="82" t="s">
        <v>58</v>
      </c>
      <c r="F143" s="94"/>
      <c r="G143" s="83" t="s">
        <v>28</v>
      </c>
      <c r="H143" s="83"/>
      <c r="I143" s="83"/>
      <c r="J143" s="83"/>
      <c r="K143" s="83"/>
      <c r="L143" s="83"/>
      <c r="M143" s="82" t="s">
        <v>29</v>
      </c>
    </row>
    <row r="144" spans="1:14" ht="15" customHeight="1" x14ac:dyDescent="0.25">
      <c r="A144" s="97">
        <v>44044</v>
      </c>
      <c r="B144" s="83" t="s">
        <v>42</v>
      </c>
      <c r="C144" s="94"/>
      <c r="D144" s="81" t="s">
        <v>40</v>
      </c>
      <c r="E144" s="81" t="s">
        <v>41</v>
      </c>
      <c r="F144" s="60"/>
      <c r="G144" s="81" t="s">
        <v>37</v>
      </c>
      <c r="H144" s="81"/>
      <c r="I144" s="81" t="s">
        <v>38</v>
      </c>
      <c r="J144" s="81"/>
      <c r="K144" s="81" t="s">
        <v>39</v>
      </c>
      <c r="L144" s="81"/>
      <c r="M144" s="81"/>
    </row>
    <row r="145" spans="1:14" ht="15" customHeight="1" x14ac:dyDescent="0.25">
      <c r="A145" s="98">
        <v>44044</v>
      </c>
      <c r="B145" s="32">
        <v>1612.2699999999998</v>
      </c>
      <c r="C145" s="14"/>
      <c r="D145" s="32">
        <v>0</v>
      </c>
      <c r="E145" s="84">
        <v>1100.0000000000002</v>
      </c>
      <c r="F145" s="14" t="s">
        <v>66</v>
      </c>
      <c r="G145" s="84">
        <v>27000.000000000004</v>
      </c>
      <c r="H145" s="14"/>
      <c r="I145" s="84">
        <v>0</v>
      </c>
      <c r="J145" s="14" t="s">
        <v>65</v>
      </c>
      <c r="K145" s="84">
        <v>27000.000000000004</v>
      </c>
      <c r="L145" s="14"/>
      <c r="M145" s="84">
        <v>29000.000000000004</v>
      </c>
      <c r="N145" s="14" t="s">
        <v>65</v>
      </c>
    </row>
    <row r="146" spans="1:14" ht="15" customHeight="1" x14ac:dyDescent="0.25">
      <c r="A146" s="98">
        <v>44045</v>
      </c>
      <c r="B146" s="32">
        <v>1612.25</v>
      </c>
      <c r="C146" s="14"/>
      <c r="D146" s="32">
        <v>0</v>
      </c>
      <c r="E146" s="84">
        <v>2000</v>
      </c>
      <c r="F146" s="14"/>
      <c r="G146" s="84">
        <v>23500</v>
      </c>
      <c r="H146" s="14"/>
      <c r="I146" s="84">
        <v>0</v>
      </c>
      <c r="J146" s="14" t="s">
        <v>66</v>
      </c>
      <c r="K146" s="84">
        <v>23500</v>
      </c>
      <c r="L146" s="14"/>
      <c r="M146" s="84">
        <v>29000.000000000004</v>
      </c>
      <c r="N146" s="14"/>
    </row>
    <row r="147" spans="1:14" ht="15" customHeight="1" x14ac:dyDescent="0.25">
      <c r="A147" s="98">
        <v>44046</v>
      </c>
      <c r="B147" s="32">
        <v>1612.1399999999999</v>
      </c>
      <c r="C147" s="14" t="s">
        <v>66</v>
      </c>
      <c r="D147" s="32">
        <v>0</v>
      </c>
      <c r="E147" s="84">
        <v>2200</v>
      </c>
      <c r="F147" s="14"/>
      <c r="G147" s="84">
        <v>26500</v>
      </c>
      <c r="H147" s="14"/>
      <c r="I147" s="84">
        <v>0</v>
      </c>
      <c r="J147" s="14"/>
      <c r="K147" s="84">
        <v>26500</v>
      </c>
      <c r="L147" s="14"/>
      <c r="M147" s="84">
        <v>29000.000000000004</v>
      </c>
      <c r="N147" s="14"/>
    </row>
    <row r="148" spans="1:14" ht="15" customHeight="1" x14ac:dyDescent="0.25">
      <c r="A148" s="98">
        <v>44047</v>
      </c>
      <c r="B148" s="32">
        <v>1612.2699999999998</v>
      </c>
      <c r="C148" s="14"/>
      <c r="D148" s="32">
        <v>0</v>
      </c>
      <c r="E148" s="84">
        <v>2300</v>
      </c>
      <c r="F148" s="14"/>
      <c r="G148" s="84">
        <v>26200.000000000004</v>
      </c>
      <c r="H148" s="14"/>
      <c r="I148" s="84">
        <v>0</v>
      </c>
      <c r="J148" s="14"/>
      <c r="K148" s="84">
        <v>26200.000000000004</v>
      </c>
      <c r="L148" s="14"/>
      <c r="M148" s="84">
        <v>29000.000000000004</v>
      </c>
      <c r="N148" s="14"/>
    </row>
    <row r="149" spans="1:14" ht="15" customHeight="1" x14ac:dyDescent="0.25">
      <c r="A149" s="98">
        <v>44048</v>
      </c>
      <c r="B149" s="32">
        <v>1612.28</v>
      </c>
      <c r="C149" s="14"/>
      <c r="D149" s="32">
        <v>0</v>
      </c>
      <c r="E149" s="84">
        <v>2400</v>
      </c>
      <c r="F149" s="14" t="s">
        <v>65</v>
      </c>
      <c r="G149" s="84">
        <v>26300.000000000004</v>
      </c>
      <c r="H149" s="14"/>
      <c r="I149" s="84">
        <v>0</v>
      </c>
      <c r="J149" s="14"/>
      <c r="K149" s="84">
        <v>26300.000000000004</v>
      </c>
      <c r="L149" s="14"/>
      <c r="M149" s="84">
        <v>29000.000000000004</v>
      </c>
      <c r="N149" s="14"/>
    </row>
    <row r="150" spans="1:14" ht="15" customHeight="1" x14ac:dyDescent="0.25">
      <c r="A150" s="98">
        <v>44049</v>
      </c>
      <c r="B150" s="32">
        <v>1612.1499999999999</v>
      </c>
      <c r="C150" s="14"/>
      <c r="D150" s="32">
        <v>0</v>
      </c>
      <c r="E150" s="84">
        <v>2400</v>
      </c>
      <c r="F150" s="14"/>
      <c r="G150" s="84">
        <v>26400.000000000004</v>
      </c>
      <c r="H150" s="14"/>
      <c r="I150" s="84">
        <v>0</v>
      </c>
      <c r="J150" s="14"/>
      <c r="K150" s="84">
        <v>26400.000000000004</v>
      </c>
      <c r="L150" s="14"/>
      <c r="M150" s="84">
        <v>29000.000000000004</v>
      </c>
      <c r="N150" s="14"/>
    </row>
    <row r="151" spans="1:14" ht="15" customHeight="1" x14ac:dyDescent="0.25">
      <c r="A151" s="98">
        <v>44050</v>
      </c>
      <c r="B151" s="32">
        <v>1612.34</v>
      </c>
      <c r="C151" s="14"/>
      <c r="D151" s="32">
        <v>0</v>
      </c>
      <c r="E151" s="84">
        <v>2400</v>
      </c>
      <c r="F151" s="14"/>
      <c r="G151" s="84">
        <v>26900</v>
      </c>
      <c r="H151" s="14"/>
      <c r="I151" s="84">
        <v>0</v>
      </c>
      <c r="J151" s="14"/>
      <c r="K151" s="84">
        <v>26900</v>
      </c>
      <c r="L151" s="14"/>
      <c r="M151" s="84">
        <v>29000.000000000004</v>
      </c>
      <c r="N151" s="14"/>
    </row>
    <row r="152" spans="1:14" ht="15" customHeight="1" x14ac:dyDescent="0.25">
      <c r="A152" s="98">
        <v>44051</v>
      </c>
      <c r="B152" s="32">
        <v>1612.22</v>
      </c>
      <c r="C152" s="14"/>
      <c r="D152" s="32">
        <v>0</v>
      </c>
      <c r="E152" s="84">
        <v>2400</v>
      </c>
      <c r="F152" s="14"/>
      <c r="G152" s="84">
        <v>25000.000000000004</v>
      </c>
      <c r="H152" s="14"/>
      <c r="I152" s="84">
        <v>0</v>
      </c>
      <c r="J152" s="14"/>
      <c r="K152" s="84">
        <v>25000.000000000004</v>
      </c>
      <c r="L152" s="14"/>
      <c r="M152" s="84">
        <v>29000.000000000004</v>
      </c>
      <c r="N152" s="14"/>
    </row>
    <row r="153" spans="1:14" ht="15" customHeight="1" x14ac:dyDescent="0.25">
      <c r="A153" s="98">
        <v>44052</v>
      </c>
      <c r="B153" s="32">
        <v>1612.5599999999997</v>
      </c>
      <c r="C153" s="14"/>
      <c r="D153" s="32">
        <v>0</v>
      </c>
      <c r="E153" s="84">
        <v>2400</v>
      </c>
      <c r="F153" s="14"/>
      <c r="G153" s="84">
        <v>24000</v>
      </c>
      <c r="H153" s="14"/>
      <c r="I153" s="84">
        <v>0</v>
      </c>
      <c r="J153" s="14"/>
      <c r="K153" s="84">
        <v>24000</v>
      </c>
      <c r="L153" s="14"/>
      <c r="M153" s="84">
        <v>29000.000000000004</v>
      </c>
      <c r="N153" s="14"/>
    </row>
    <row r="154" spans="1:14" ht="15" customHeight="1" x14ac:dyDescent="0.25">
      <c r="A154" s="98">
        <v>44053</v>
      </c>
      <c r="B154" s="32">
        <v>1612.1799999999998</v>
      </c>
      <c r="C154" s="14"/>
      <c r="D154" s="32">
        <v>0</v>
      </c>
      <c r="E154" s="84">
        <v>2400</v>
      </c>
      <c r="F154" s="14"/>
      <c r="G154" s="84">
        <v>25300</v>
      </c>
      <c r="H154" s="14"/>
      <c r="I154" s="84">
        <v>0</v>
      </c>
      <c r="J154" s="14"/>
      <c r="K154" s="84">
        <v>25300</v>
      </c>
      <c r="L154" s="14"/>
      <c r="M154" s="84">
        <v>29000.000000000004</v>
      </c>
      <c r="N154" s="14"/>
    </row>
    <row r="155" spans="1:14" ht="15" customHeight="1" x14ac:dyDescent="0.25">
      <c r="A155" s="98">
        <v>44054</v>
      </c>
      <c r="B155" s="32">
        <v>1612.3299999999997</v>
      </c>
      <c r="C155" s="14"/>
      <c r="D155" s="32">
        <v>0</v>
      </c>
      <c r="E155" s="84">
        <v>2400</v>
      </c>
      <c r="F155" s="14"/>
      <c r="G155" s="84">
        <v>25500.000000000004</v>
      </c>
      <c r="H155" s="14"/>
      <c r="I155" s="84">
        <v>0</v>
      </c>
      <c r="J155" s="14"/>
      <c r="K155" s="84">
        <v>25500.000000000004</v>
      </c>
      <c r="L155" s="14"/>
      <c r="M155" s="84">
        <v>29000.000000000004</v>
      </c>
      <c r="N155" s="14"/>
    </row>
    <row r="156" spans="1:14" ht="15" customHeight="1" x14ac:dyDescent="0.25">
      <c r="A156" s="98">
        <v>44055</v>
      </c>
      <c r="B156" s="32">
        <v>1612.34</v>
      </c>
      <c r="C156" s="14"/>
      <c r="D156" s="32">
        <v>0</v>
      </c>
      <c r="E156" s="84">
        <v>2400</v>
      </c>
      <c r="F156" s="14"/>
      <c r="G156" s="84">
        <v>25400.000000000004</v>
      </c>
      <c r="H156" s="14"/>
      <c r="I156" s="84">
        <v>0</v>
      </c>
      <c r="J156" s="14"/>
      <c r="K156" s="84">
        <v>25400.000000000004</v>
      </c>
      <c r="L156" s="14"/>
      <c r="M156" s="84">
        <v>28000.000000000004</v>
      </c>
      <c r="N156" s="14"/>
    </row>
    <row r="157" spans="1:14" ht="15" customHeight="1" x14ac:dyDescent="0.25">
      <c r="A157" s="98">
        <v>44056</v>
      </c>
      <c r="B157" s="32">
        <v>1612.35</v>
      </c>
      <c r="C157" s="14"/>
      <c r="D157" s="32">
        <v>0</v>
      </c>
      <c r="E157" s="84">
        <v>2400</v>
      </c>
      <c r="F157" s="14"/>
      <c r="G157" s="84">
        <v>25300</v>
      </c>
      <c r="H157" s="14"/>
      <c r="I157" s="84">
        <v>0</v>
      </c>
      <c r="J157" s="14"/>
      <c r="K157" s="84">
        <v>25300</v>
      </c>
      <c r="L157" s="14"/>
      <c r="M157" s="84">
        <v>28000.000000000004</v>
      </c>
      <c r="N157" s="14"/>
    </row>
    <row r="158" spans="1:14" ht="15" customHeight="1" x14ac:dyDescent="0.25">
      <c r="A158" s="98">
        <v>44057</v>
      </c>
      <c r="B158" s="32">
        <v>1612.1399999999999</v>
      </c>
      <c r="C158" s="14"/>
      <c r="D158" s="32">
        <v>0</v>
      </c>
      <c r="E158" s="84">
        <v>2400</v>
      </c>
      <c r="F158" s="14"/>
      <c r="G158" s="84">
        <v>25400.000000000004</v>
      </c>
      <c r="H158" s="14"/>
      <c r="I158" s="84">
        <v>0</v>
      </c>
      <c r="J158" s="14"/>
      <c r="K158" s="84">
        <v>25400.000000000004</v>
      </c>
      <c r="L158" s="14"/>
      <c r="M158" s="84">
        <v>28000.000000000004</v>
      </c>
      <c r="N158" s="14"/>
    </row>
    <row r="159" spans="1:14" ht="15" customHeight="1" x14ac:dyDescent="0.25">
      <c r="A159" s="98">
        <v>44058</v>
      </c>
      <c r="B159" s="32">
        <v>1612.4099999999999</v>
      </c>
      <c r="C159" s="14"/>
      <c r="D159" s="32">
        <v>0</v>
      </c>
      <c r="E159" s="84">
        <v>2400</v>
      </c>
      <c r="F159" s="14"/>
      <c r="G159" s="84">
        <v>22100.000000000004</v>
      </c>
      <c r="H159" s="14"/>
      <c r="I159" s="84">
        <v>0</v>
      </c>
      <c r="J159" s="14"/>
      <c r="K159" s="84">
        <v>22100.000000000004</v>
      </c>
      <c r="L159" s="14"/>
      <c r="M159" s="84">
        <v>28000.000000000004</v>
      </c>
      <c r="N159" s="14"/>
    </row>
    <row r="160" spans="1:14" ht="15" customHeight="1" x14ac:dyDescent="0.25">
      <c r="A160" s="98">
        <v>44059</v>
      </c>
      <c r="B160" s="32">
        <v>1612.39</v>
      </c>
      <c r="C160" s="14"/>
      <c r="D160" s="32">
        <v>0</v>
      </c>
      <c r="E160" s="84">
        <v>2400</v>
      </c>
      <c r="F160" s="14"/>
      <c r="G160" s="84">
        <v>20100</v>
      </c>
      <c r="H160" s="14" t="s">
        <v>66</v>
      </c>
      <c r="I160" s="84">
        <v>0</v>
      </c>
      <c r="J160" s="14"/>
      <c r="K160" s="84">
        <v>20100</v>
      </c>
      <c r="L160" s="14" t="s">
        <v>66</v>
      </c>
      <c r="M160" s="84">
        <v>28000.000000000004</v>
      </c>
      <c r="N160" s="14"/>
    </row>
    <row r="161" spans="1:14" ht="15" customHeight="1" x14ac:dyDescent="0.25">
      <c r="A161" s="98">
        <v>44060</v>
      </c>
      <c r="B161" s="32">
        <v>1612.3599999999997</v>
      </c>
      <c r="C161" s="14"/>
      <c r="D161" s="32">
        <v>0</v>
      </c>
      <c r="E161" s="84">
        <v>2400</v>
      </c>
      <c r="F161" s="14"/>
      <c r="G161" s="84">
        <v>25100</v>
      </c>
      <c r="H161" s="14"/>
      <c r="I161" s="84">
        <v>0</v>
      </c>
      <c r="J161" s="14"/>
      <c r="K161" s="84">
        <v>25100</v>
      </c>
      <c r="L161" s="14"/>
      <c r="M161" s="84">
        <v>27000.000000000004</v>
      </c>
      <c r="N161" s="14" t="s">
        <v>66</v>
      </c>
    </row>
    <row r="162" spans="1:14" ht="15" customHeight="1" x14ac:dyDescent="0.25">
      <c r="A162" s="98">
        <v>44061</v>
      </c>
      <c r="B162" s="32">
        <v>1612.31</v>
      </c>
      <c r="C162" s="14"/>
      <c r="D162" s="32">
        <v>0</v>
      </c>
      <c r="E162" s="84">
        <v>2400</v>
      </c>
      <c r="F162" s="14"/>
      <c r="G162" s="84">
        <v>25600</v>
      </c>
      <c r="H162" s="14"/>
      <c r="I162" s="84">
        <v>0</v>
      </c>
      <c r="J162" s="14"/>
      <c r="K162" s="84">
        <v>25600</v>
      </c>
      <c r="L162" s="14"/>
      <c r="M162" s="84">
        <v>27000.000000000004</v>
      </c>
      <c r="N162" s="14"/>
    </row>
    <row r="163" spans="1:14" ht="15" customHeight="1" x14ac:dyDescent="0.25">
      <c r="A163" s="98">
        <v>44062</v>
      </c>
      <c r="B163" s="32">
        <v>1612.4</v>
      </c>
      <c r="C163" s="14"/>
      <c r="D163" s="32">
        <v>0</v>
      </c>
      <c r="E163" s="84">
        <v>2400</v>
      </c>
      <c r="F163" s="14"/>
      <c r="G163" s="84">
        <v>25300</v>
      </c>
      <c r="H163" s="14"/>
      <c r="I163" s="84">
        <v>0</v>
      </c>
      <c r="J163" s="14"/>
      <c r="K163" s="84">
        <v>25300</v>
      </c>
      <c r="L163" s="14"/>
      <c r="M163" s="84">
        <v>27000.000000000004</v>
      </c>
      <c r="N163" s="14"/>
    </row>
    <row r="164" spans="1:14" ht="15" customHeight="1" x14ac:dyDescent="0.25">
      <c r="A164" s="98">
        <v>44063</v>
      </c>
      <c r="B164" s="32">
        <v>1612.3799999999999</v>
      </c>
      <c r="C164" s="14"/>
      <c r="D164" s="32">
        <v>0</v>
      </c>
      <c r="E164" s="84">
        <v>2400</v>
      </c>
      <c r="F164" s="14"/>
      <c r="G164" s="84">
        <v>25100</v>
      </c>
      <c r="H164" s="14"/>
      <c r="I164" s="84">
        <v>0</v>
      </c>
      <c r="J164" s="14"/>
      <c r="K164" s="84">
        <v>25100</v>
      </c>
      <c r="L164" s="14"/>
      <c r="M164" s="84">
        <v>27000.000000000004</v>
      </c>
      <c r="N164" s="14"/>
    </row>
    <row r="165" spans="1:14" ht="15" customHeight="1" x14ac:dyDescent="0.25">
      <c r="A165" s="98">
        <v>44064</v>
      </c>
      <c r="B165" s="32">
        <v>1612.32</v>
      </c>
      <c r="C165" s="14"/>
      <c r="D165" s="32">
        <v>0</v>
      </c>
      <c r="E165" s="84">
        <v>2400</v>
      </c>
      <c r="F165" s="14"/>
      <c r="G165" s="84">
        <v>25500.000000000004</v>
      </c>
      <c r="H165" s="14"/>
      <c r="I165" s="84">
        <v>0</v>
      </c>
      <c r="J165" s="14"/>
      <c r="K165" s="84">
        <v>25500.000000000004</v>
      </c>
      <c r="L165" s="14"/>
      <c r="M165" s="84">
        <v>27000.000000000004</v>
      </c>
      <c r="N165" s="14"/>
    </row>
    <row r="166" spans="1:14" ht="15" customHeight="1" x14ac:dyDescent="0.25">
      <c r="A166" s="98">
        <v>44065</v>
      </c>
      <c r="B166" s="32">
        <v>1612.4099999999999</v>
      </c>
      <c r="C166" s="14"/>
      <c r="D166" s="32">
        <v>0</v>
      </c>
      <c r="E166" s="84">
        <v>2400</v>
      </c>
      <c r="F166" s="14"/>
      <c r="G166" s="84">
        <v>23500</v>
      </c>
      <c r="H166" s="14"/>
      <c r="I166" s="84">
        <v>0</v>
      </c>
      <c r="J166" s="14"/>
      <c r="K166" s="84">
        <v>23500</v>
      </c>
      <c r="L166" s="14"/>
      <c r="M166" s="84">
        <v>27000.000000000004</v>
      </c>
      <c r="N166" s="14"/>
    </row>
    <row r="167" spans="1:14" ht="15" customHeight="1" x14ac:dyDescent="0.25">
      <c r="A167" s="98">
        <v>44066</v>
      </c>
      <c r="B167" s="32">
        <v>1612.42</v>
      </c>
      <c r="C167" s="14"/>
      <c r="D167" s="32">
        <v>0</v>
      </c>
      <c r="E167" s="84">
        <v>2400</v>
      </c>
      <c r="F167" s="14"/>
      <c r="G167" s="84">
        <v>21300</v>
      </c>
      <c r="H167" s="14"/>
      <c r="I167" s="84">
        <v>0</v>
      </c>
      <c r="J167" s="14"/>
      <c r="K167" s="84">
        <v>21300</v>
      </c>
      <c r="L167" s="14"/>
      <c r="M167" s="84">
        <v>27000.000000000004</v>
      </c>
      <c r="N167" s="14"/>
    </row>
    <row r="168" spans="1:14" ht="15" customHeight="1" x14ac:dyDescent="0.25">
      <c r="A168" s="98">
        <v>44067</v>
      </c>
      <c r="B168" s="32">
        <v>1612.4699999999998</v>
      </c>
      <c r="C168" s="14"/>
      <c r="D168" s="32">
        <v>0</v>
      </c>
      <c r="E168" s="84">
        <v>2400</v>
      </c>
      <c r="F168" s="14"/>
      <c r="G168" s="84">
        <v>25300</v>
      </c>
      <c r="H168" s="14"/>
      <c r="I168" s="84">
        <v>0</v>
      </c>
      <c r="J168" s="14"/>
      <c r="K168" s="84">
        <v>25300</v>
      </c>
      <c r="L168" s="14"/>
      <c r="M168" s="84">
        <v>27000.000000000004</v>
      </c>
      <c r="N168" s="14"/>
    </row>
    <row r="169" spans="1:14" ht="15" customHeight="1" x14ac:dyDescent="0.25">
      <c r="A169" s="98">
        <v>44068</v>
      </c>
      <c r="B169" s="32">
        <v>1612.42</v>
      </c>
      <c r="C169" s="14"/>
      <c r="D169" s="32">
        <v>0</v>
      </c>
      <c r="E169" s="84">
        <v>2400</v>
      </c>
      <c r="F169" s="14"/>
      <c r="G169" s="84">
        <v>25000.000000000004</v>
      </c>
      <c r="H169" s="14"/>
      <c r="I169" s="84">
        <v>0</v>
      </c>
      <c r="J169" s="14"/>
      <c r="K169" s="84">
        <v>25000.000000000004</v>
      </c>
      <c r="L169" s="14"/>
      <c r="M169" s="84">
        <v>28000.000000000004</v>
      </c>
      <c r="N169" s="14"/>
    </row>
    <row r="170" spans="1:14" ht="15" customHeight="1" x14ac:dyDescent="0.25">
      <c r="A170" s="98">
        <v>44069</v>
      </c>
      <c r="B170" s="32">
        <v>1612.35</v>
      </c>
      <c r="C170" s="14"/>
      <c r="D170" s="32">
        <v>0</v>
      </c>
      <c r="E170" s="84">
        <v>2400</v>
      </c>
      <c r="F170" s="14"/>
      <c r="G170" s="84">
        <v>25100</v>
      </c>
      <c r="H170" s="14"/>
      <c r="I170" s="84">
        <v>0</v>
      </c>
      <c r="J170" s="14"/>
      <c r="K170" s="84">
        <v>25100</v>
      </c>
      <c r="L170" s="14"/>
      <c r="M170" s="84">
        <v>28000.000000000004</v>
      </c>
      <c r="N170" s="14"/>
    </row>
    <row r="171" spans="1:14" ht="15" customHeight="1" x14ac:dyDescent="0.25">
      <c r="A171" s="98">
        <v>44070</v>
      </c>
      <c r="B171" s="32">
        <v>1613.0599999999997</v>
      </c>
      <c r="C171" s="14" t="s">
        <v>65</v>
      </c>
      <c r="D171" s="32">
        <v>0</v>
      </c>
      <c r="E171" s="84">
        <v>2400</v>
      </c>
      <c r="F171" s="14"/>
      <c r="G171" s="84">
        <v>26700</v>
      </c>
      <c r="H171" s="14"/>
      <c r="I171" s="84">
        <v>0</v>
      </c>
      <c r="J171" s="14"/>
      <c r="K171" s="84">
        <v>26700</v>
      </c>
      <c r="L171" s="14"/>
      <c r="M171" s="84">
        <v>28000.000000000004</v>
      </c>
      <c r="N171" s="14"/>
    </row>
    <row r="172" spans="1:14" ht="15" customHeight="1" x14ac:dyDescent="0.25">
      <c r="A172" s="98">
        <v>44071</v>
      </c>
      <c r="B172" s="32">
        <v>1612.42</v>
      </c>
      <c r="C172" s="14"/>
      <c r="D172" s="32">
        <v>0</v>
      </c>
      <c r="E172" s="84">
        <v>2400</v>
      </c>
      <c r="F172" s="14"/>
      <c r="G172" s="84">
        <v>26700</v>
      </c>
      <c r="H172" s="14"/>
      <c r="I172" s="84">
        <v>0</v>
      </c>
      <c r="J172" s="14"/>
      <c r="K172" s="84">
        <v>26700</v>
      </c>
      <c r="L172" s="14"/>
      <c r="M172" s="84">
        <v>28000.000000000004</v>
      </c>
      <c r="N172" s="14"/>
    </row>
    <row r="173" spans="1:14" ht="15" customHeight="1" x14ac:dyDescent="0.25">
      <c r="A173" s="98">
        <v>44072</v>
      </c>
      <c r="B173" s="32">
        <v>1612.23</v>
      </c>
      <c r="C173" s="14"/>
      <c r="D173" s="32">
        <v>0</v>
      </c>
      <c r="E173" s="84">
        <v>2400</v>
      </c>
      <c r="F173" s="14"/>
      <c r="G173" s="84">
        <v>25300</v>
      </c>
      <c r="H173" s="14"/>
      <c r="I173" s="84">
        <v>0</v>
      </c>
      <c r="J173" s="14"/>
      <c r="K173" s="84">
        <v>25300</v>
      </c>
      <c r="L173" s="14"/>
      <c r="M173" s="84">
        <v>28000.000000000004</v>
      </c>
      <c r="N173" s="14"/>
    </row>
    <row r="174" spans="1:14" ht="15" customHeight="1" x14ac:dyDescent="0.25">
      <c r="A174" s="98">
        <v>44073</v>
      </c>
      <c r="B174" s="32">
        <v>1612.95</v>
      </c>
      <c r="C174" s="14"/>
      <c r="D174" s="32">
        <v>0</v>
      </c>
      <c r="E174" s="84">
        <v>2400</v>
      </c>
      <c r="F174" s="14"/>
      <c r="G174" s="84">
        <v>23300</v>
      </c>
      <c r="H174" s="14"/>
      <c r="I174" s="84">
        <v>0</v>
      </c>
      <c r="J174" s="14"/>
      <c r="K174" s="84">
        <v>23300</v>
      </c>
      <c r="L174" s="14"/>
      <c r="M174" s="84">
        <v>28000.000000000004</v>
      </c>
      <c r="N174" s="14"/>
    </row>
    <row r="175" spans="1:14" ht="15" customHeight="1" x14ac:dyDescent="0.25">
      <c r="A175" s="98">
        <v>44074</v>
      </c>
      <c r="B175" s="32">
        <v>1612.26</v>
      </c>
      <c r="C175" s="14"/>
      <c r="D175" s="32">
        <v>0</v>
      </c>
      <c r="E175" s="84">
        <v>2400</v>
      </c>
      <c r="F175" s="14"/>
      <c r="G175" s="84">
        <v>28200.000000000004</v>
      </c>
      <c r="H175" s="14" t="s">
        <v>65</v>
      </c>
      <c r="I175" s="84">
        <v>0</v>
      </c>
      <c r="J175" s="14"/>
      <c r="K175" s="84">
        <v>28200.000000000004</v>
      </c>
      <c r="L175" s="14" t="s">
        <v>65</v>
      </c>
      <c r="M175" s="84">
        <v>28000.000000000004</v>
      </c>
      <c r="N175" s="14"/>
    </row>
    <row r="176" spans="1:14" ht="15" customHeight="1" x14ac:dyDescent="0.25">
      <c r="A176" s="83" t="s">
        <v>0</v>
      </c>
      <c r="B176" s="83"/>
      <c r="C176" s="83"/>
      <c r="D176" s="32">
        <v>0</v>
      </c>
      <c r="E176" s="84">
        <v>72400</v>
      </c>
      <c r="F176" s="99"/>
      <c r="G176" s="84">
        <v>777900</v>
      </c>
      <c r="H176" s="99"/>
      <c r="I176" s="84">
        <v>0</v>
      </c>
      <c r="J176" s="100"/>
      <c r="K176" s="84">
        <v>777900</v>
      </c>
      <c r="L176" s="100"/>
      <c r="M176" s="84">
        <v>871000</v>
      </c>
      <c r="N176" s="100"/>
    </row>
    <row r="177" spans="1:16" ht="15" customHeight="1" x14ac:dyDescent="0.25">
      <c r="A177" s="83" t="s">
        <v>1</v>
      </c>
      <c r="B177" s="83"/>
      <c r="C177" s="83"/>
      <c r="D177" s="101"/>
      <c r="E177" s="84">
        <v>143600</v>
      </c>
      <c r="F177" s="99"/>
      <c r="G177" s="84">
        <v>1543000</v>
      </c>
      <c r="H177" s="99"/>
      <c r="I177" s="84">
        <v>0</v>
      </c>
      <c r="J177" s="100"/>
      <c r="K177" s="84">
        <v>1543000</v>
      </c>
      <c r="L177" s="100"/>
      <c r="M177" s="84">
        <v>1728000</v>
      </c>
      <c r="N177" s="100"/>
    </row>
    <row r="178" spans="1:16" ht="15" customHeight="1" x14ac:dyDescent="0.25">
      <c r="A178" s="102" t="s">
        <v>2</v>
      </c>
      <c r="B178" s="32">
        <v>1612.3670967741934</v>
      </c>
      <c r="C178" s="103"/>
      <c r="D178" s="32">
        <v>0</v>
      </c>
      <c r="E178" s="84">
        <v>2300</v>
      </c>
      <c r="F178" s="99"/>
      <c r="G178" s="84">
        <v>25100</v>
      </c>
      <c r="H178" s="99"/>
      <c r="I178" s="84">
        <v>0</v>
      </c>
      <c r="J178" s="100"/>
      <c r="K178" s="84">
        <v>25100</v>
      </c>
      <c r="L178" s="100"/>
      <c r="M178" s="84">
        <v>28100</v>
      </c>
      <c r="N178" s="100"/>
    </row>
    <row r="179" spans="1:16" ht="15" customHeight="1" x14ac:dyDescent="0.25">
      <c r="A179" s="83" t="s">
        <v>25</v>
      </c>
      <c r="B179" s="83"/>
      <c r="C179" s="83"/>
      <c r="D179" s="83"/>
      <c r="E179" s="81" t="s">
        <v>31</v>
      </c>
      <c r="F179" s="88">
        <v>20237000</v>
      </c>
      <c r="G179" s="88"/>
      <c r="H179" s="62"/>
      <c r="I179" s="62"/>
      <c r="J179" s="83" t="s">
        <v>44</v>
      </c>
      <c r="K179" s="83"/>
      <c r="L179" s="88">
        <v>41000</v>
      </c>
      <c r="M179" s="88"/>
    </row>
    <row r="180" spans="1:16" ht="15" customHeight="1" x14ac:dyDescent="0.25">
      <c r="A180" s="104" t="s">
        <v>32</v>
      </c>
      <c r="B180" s="60"/>
      <c r="C180" s="61"/>
      <c r="D180" s="83" t="s">
        <v>46</v>
      </c>
      <c r="E180" s="83"/>
      <c r="F180" s="88">
        <v>20241999.999999996</v>
      </c>
      <c r="G180" s="88"/>
      <c r="H180" s="62"/>
      <c r="I180" s="62"/>
      <c r="J180" s="83" t="s">
        <v>33</v>
      </c>
      <c r="K180" s="83"/>
      <c r="L180" s="88">
        <v>20198000</v>
      </c>
      <c r="M180" s="88"/>
    </row>
    <row r="181" spans="1:16" ht="15" customHeight="1" x14ac:dyDescent="0.25">
      <c r="A181" s="104" t="s">
        <v>30</v>
      </c>
      <c r="B181" s="60"/>
      <c r="C181" s="61"/>
      <c r="D181" s="83" t="s">
        <v>45</v>
      </c>
      <c r="E181" s="83"/>
      <c r="F181" s="66" t="s">
        <v>87</v>
      </c>
      <c r="G181" s="66"/>
      <c r="H181" s="62"/>
      <c r="I181" s="62"/>
      <c r="J181" s="61"/>
      <c r="K181" s="62"/>
      <c r="L181" s="61"/>
      <c r="M181" s="62"/>
    </row>
    <row r="182" spans="1:16" ht="15" customHeight="1" x14ac:dyDescent="0.25">
      <c r="A182" s="89" t="s">
        <v>90</v>
      </c>
      <c r="B182" s="89"/>
      <c r="C182" s="89"/>
      <c r="D182" s="89"/>
      <c r="E182" s="89"/>
      <c r="F182" s="89"/>
      <c r="G182" s="89"/>
      <c r="H182" s="89"/>
      <c r="I182" s="89"/>
      <c r="J182" s="89"/>
      <c r="K182" s="89"/>
      <c r="L182" s="89"/>
      <c r="M182" s="90">
        <v>44044</v>
      </c>
    </row>
    <row r="183" spans="1:16" ht="15" customHeight="1" x14ac:dyDescent="0.25">
      <c r="A183" s="89"/>
      <c r="B183" s="89"/>
      <c r="C183" s="89"/>
      <c r="D183" s="89"/>
      <c r="E183" s="89"/>
      <c r="F183" s="89"/>
      <c r="G183" s="89"/>
      <c r="H183" s="89"/>
      <c r="I183" s="89"/>
      <c r="J183" s="89"/>
      <c r="K183" s="89"/>
      <c r="L183" s="89"/>
      <c r="M183" s="90"/>
    </row>
    <row r="184" spans="1:16" ht="15" customHeight="1" x14ac:dyDescent="0.25">
      <c r="A184" s="89"/>
      <c r="B184" s="89"/>
      <c r="C184" s="89"/>
      <c r="D184" s="89"/>
      <c r="E184" s="89"/>
      <c r="F184" s="89"/>
      <c r="G184" s="89"/>
      <c r="H184" s="89"/>
      <c r="I184" s="89"/>
      <c r="J184" s="89"/>
      <c r="K184" s="89"/>
      <c r="L184" s="89"/>
      <c r="M184" s="90"/>
    </row>
    <row r="185" spans="1:16" ht="15.75" customHeight="1" x14ac:dyDescent="0.25">
      <c r="A185" s="91" t="s">
        <v>43</v>
      </c>
      <c r="B185" s="91"/>
      <c r="C185" s="91"/>
      <c r="D185" s="91"/>
      <c r="E185" s="91"/>
      <c r="F185" s="91"/>
      <c r="G185" s="91"/>
      <c r="H185" s="91"/>
      <c r="I185" s="91"/>
      <c r="J185" s="91"/>
      <c r="K185" s="91"/>
      <c r="L185" s="91"/>
      <c r="M185" s="91"/>
      <c r="N185" s="91"/>
      <c r="O185" s="91"/>
      <c r="P185" s="91"/>
    </row>
    <row r="186" spans="1:16" ht="15.75" customHeight="1" x14ac:dyDescent="0.25">
      <c r="A186" s="91" t="s">
        <v>47</v>
      </c>
      <c r="B186" s="91"/>
      <c r="C186" s="91"/>
      <c r="D186" s="91"/>
      <c r="E186" s="91"/>
      <c r="F186" s="91" t="s">
        <v>36</v>
      </c>
      <c r="G186" s="91"/>
      <c r="H186" s="91"/>
      <c r="I186" s="91"/>
      <c r="J186" s="91"/>
      <c r="K186" s="91"/>
      <c r="L186" s="91"/>
      <c r="M186" s="91"/>
      <c r="N186" s="91"/>
      <c r="O186" s="91"/>
      <c r="P186" s="91"/>
    </row>
    <row r="187" spans="1:16" ht="15.75" customHeight="1" x14ac:dyDescent="0.25">
      <c r="A187" s="83" t="s">
        <v>52</v>
      </c>
      <c r="B187" s="83"/>
      <c r="C187" s="83"/>
      <c r="D187" s="83"/>
      <c r="E187" s="83"/>
      <c r="F187" s="92">
        <v>44044</v>
      </c>
      <c r="G187" s="92"/>
      <c r="H187" s="92"/>
      <c r="I187" s="93" t="s">
        <v>35</v>
      </c>
      <c r="J187" s="94"/>
      <c r="K187" s="94"/>
      <c r="L187" s="94"/>
      <c r="M187" s="94"/>
      <c r="N187" s="94"/>
      <c r="O187" s="94"/>
      <c r="P187" s="94"/>
    </row>
    <row r="188" spans="1:16" ht="15" customHeight="1" x14ac:dyDescent="0.25">
      <c r="A188" s="95"/>
      <c r="B188" s="95"/>
      <c r="C188" s="95"/>
      <c r="D188" s="83" t="s">
        <v>56</v>
      </c>
      <c r="E188" s="83"/>
      <c r="F188" s="83"/>
      <c r="G188" s="83" t="s">
        <v>34</v>
      </c>
      <c r="H188" s="83"/>
      <c r="I188" s="83"/>
      <c r="J188" s="83"/>
      <c r="K188" s="83"/>
      <c r="L188" s="83"/>
      <c r="M188" s="83"/>
      <c r="N188" s="83"/>
      <c r="O188" s="83"/>
      <c r="P188" s="83"/>
    </row>
    <row r="189" spans="1:16" ht="15" customHeight="1" x14ac:dyDescent="0.25">
      <c r="A189" s="96">
        <v>44044</v>
      </c>
      <c r="B189" s="83" t="s">
        <v>27</v>
      </c>
      <c r="C189" s="94"/>
      <c r="D189" s="82" t="s">
        <v>57</v>
      </c>
      <c r="E189" s="82" t="s">
        <v>58</v>
      </c>
      <c r="F189" s="94"/>
      <c r="G189" s="83" t="s">
        <v>28</v>
      </c>
      <c r="H189" s="83"/>
      <c r="I189" s="83"/>
      <c r="J189" s="83"/>
      <c r="K189" s="83"/>
      <c r="L189" s="83"/>
      <c r="M189" s="83"/>
      <c r="N189" s="83"/>
      <c r="O189" s="83" t="s">
        <v>29</v>
      </c>
      <c r="P189" s="94"/>
    </row>
    <row r="190" spans="1:16" ht="15" customHeight="1" x14ac:dyDescent="0.25">
      <c r="A190" s="97">
        <v>44044</v>
      </c>
      <c r="B190" s="83" t="s">
        <v>42</v>
      </c>
      <c r="C190" s="94"/>
      <c r="D190" s="81" t="s">
        <v>40</v>
      </c>
      <c r="E190" s="81" t="s">
        <v>41</v>
      </c>
      <c r="F190" s="60"/>
      <c r="G190" s="81" t="s">
        <v>37</v>
      </c>
      <c r="H190" s="81"/>
      <c r="I190" s="81" t="s">
        <v>38</v>
      </c>
      <c r="J190" s="81"/>
      <c r="K190" s="81" t="s">
        <v>39</v>
      </c>
      <c r="L190" s="81"/>
      <c r="M190" s="81" t="s">
        <v>49</v>
      </c>
      <c r="N190" s="81"/>
      <c r="O190" s="81"/>
      <c r="P190" s="61"/>
    </row>
    <row r="191" spans="1:16" ht="15" customHeight="1" x14ac:dyDescent="0.25">
      <c r="A191" s="98">
        <v>44044</v>
      </c>
      <c r="B191" s="32">
        <v>1843.3899999999999</v>
      </c>
      <c r="C191" s="14" t="s">
        <v>65</v>
      </c>
      <c r="D191" s="32">
        <v>0</v>
      </c>
      <c r="E191" s="84">
        <v>2500.0000000000005</v>
      </c>
      <c r="F191" s="14" t="s">
        <v>65</v>
      </c>
      <c r="G191" s="84">
        <v>28100.000000000004</v>
      </c>
      <c r="H191" s="14"/>
      <c r="I191" s="84">
        <v>0</v>
      </c>
      <c r="J191" s="14" t="s">
        <v>65</v>
      </c>
      <c r="K191" s="84">
        <v>28100.000000000004</v>
      </c>
      <c r="L191" s="14"/>
      <c r="M191" s="84">
        <v>0</v>
      </c>
      <c r="N191" s="14" t="s">
        <v>66</v>
      </c>
      <c r="O191" s="84">
        <v>16000.000000000002</v>
      </c>
      <c r="P191" s="14" t="s">
        <v>65</v>
      </c>
    </row>
    <row r="192" spans="1:16" ht="15" customHeight="1" x14ac:dyDescent="0.25">
      <c r="A192" s="98">
        <v>44045</v>
      </c>
      <c r="B192" s="32">
        <v>1843.25</v>
      </c>
      <c r="C192" s="14"/>
      <c r="D192" s="32">
        <v>0</v>
      </c>
      <c r="E192" s="84">
        <v>2500.0000000000005</v>
      </c>
      <c r="F192" s="14"/>
      <c r="G192" s="84">
        <v>28200.000000000004</v>
      </c>
      <c r="H192" s="14"/>
      <c r="I192" s="84">
        <v>0</v>
      </c>
      <c r="J192" s="14" t="s">
        <v>66</v>
      </c>
      <c r="K192" s="84">
        <v>28200.000000000004</v>
      </c>
      <c r="L192" s="14"/>
      <c r="M192" s="84">
        <v>0</v>
      </c>
      <c r="N192" s="14"/>
      <c r="O192" s="84">
        <v>16000.000000000002</v>
      </c>
      <c r="P192" s="14"/>
    </row>
    <row r="193" spans="1:16" ht="15" customHeight="1" x14ac:dyDescent="0.25">
      <c r="A193" s="98">
        <v>44046</v>
      </c>
      <c r="B193" s="32">
        <v>1843.1199999999997</v>
      </c>
      <c r="C193" s="14"/>
      <c r="D193" s="32">
        <v>0</v>
      </c>
      <c r="E193" s="84">
        <v>2500.0000000000005</v>
      </c>
      <c r="F193" s="14"/>
      <c r="G193" s="84">
        <v>28200.000000000004</v>
      </c>
      <c r="H193" s="14"/>
      <c r="I193" s="84">
        <v>0</v>
      </c>
      <c r="J193" s="14"/>
      <c r="K193" s="84">
        <v>28200.000000000004</v>
      </c>
      <c r="L193" s="14"/>
      <c r="M193" s="84">
        <v>0</v>
      </c>
      <c r="N193" s="14"/>
      <c r="O193" s="84">
        <v>16000.000000000002</v>
      </c>
      <c r="P193" s="14"/>
    </row>
    <row r="194" spans="1:16" ht="15" customHeight="1" x14ac:dyDescent="0.25">
      <c r="A194" s="98">
        <v>44047</v>
      </c>
      <c r="B194" s="32">
        <v>1843.19</v>
      </c>
      <c r="C194" s="14"/>
      <c r="D194" s="32">
        <v>0</v>
      </c>
      <c r="E194" s="84">
        <v>2500.0000000000005</v>
      </c>
      <c r="F194" s="14"/>
      <c r="G194" s="84">
        <v>28200.000000000004</v>
      </c>
      <c r="H194" s="14"/>
      <c r="I194" s="84">
        <v>0</v>
      </c>
      <c r="J194" s="14"/>
      <c r="K194" s="84">
        <v>28200.000000000004</v>
      </c>
      <c r="L194" s="14"/>
      <c r="M194" s="84">
        <v>0</v>
      </c>
      <c r="N194" s="14"/>
      <c r="O194" s="84">
        <v>15000.000000000002</v>
      </c>
      <c r="P194" s="14"/>
    </row>
    <row r="195" spans="1:16" ht="15" customHeight="1" x14ac:dyDescent="0.25">
      <c r="A195" s="98">
        <v>44048</v>
      </c>
      <c r="B195" s="32">
        <v>1843.02</v>
      </c>
      <c r="C195" s="14"/>
      <c r="D195" s="32">
        <v>0</v>
      </c>
      <c r="E195" s="84">
        <v>2500.0000000000005</v>
      </c>
      <c r="F195" s="14"/>
      <c r="G195" s="84">
        <v>28200.000000000004</v>
      </c>
      <c r="H195" s="14"/>
      <c r="I195" s="84">
        <v>0</v>
      </c>
      <c r="J195" s="14"/>
      <c r="K195" s="84">
        <v>28200.000000000004</v>
      </c>
      <c r="L195" s="14"/>
      <c r="M195" s="84">
        <v>0</v>
      </c>
      <c r="N195" s="14"/>
      <c r="O195" s="84">
        <v>15000</v>
      </c>
      <c r="P195" s="14"/>
    </row>
    <row r="196" spans="1:16" ht="15" customHeight="1" x14ac:dyDescent="0.25">
      <c r="A196" s="98">
        <v>44049</v>
      </c>
      <c r="B196" s="32">
        <v>1842.8399999999997</v>
      </c>
      <c r="C196" s="14"/>
      <c r="D196" s="32">
        <v>0</v>
      </c>
      <c r="E196" s="84">
        <v>2500.0000000000005</v>
      </c>
      <c r="F196" s="14"/>
      <c r="G196" s="84">
        <v>28200.000000000004</v>
      </c>
      <c r="H196" s="14"/>
      <c r="I196" s="84">
        <v>0</v>
      </c>
      <c r="J196" s="14"/>
      <c r="K196" s="84">
        <v>28200.000000000004</v>
      </c>
      <c r="L196" s="14"/>
      <c r="M196" s="84">
        <v>0</v>
      </c>
      <c r="N196" s="14"/>
      <c r="O196" s="84">
        <v>14000</v>
      </c>
      <c r="P196" s="14" t="s">
        <v>66</v>
      </c>
    </row>
    <row r="197" spans="1:16" ht="15" customHeight="1" x14ac:dyDescent="0.25">
      <c r="A197" s="98">
        <v>44050</v>
      </c>
      <c r="B197" s="32">
        <v>1842.9099999999999</v>
      </c>
      <c r="C197" s="14"/>
      <c r="D197" s="32">
        <v>0</v>
      </c>
      <c r="E197" s="84">
        <v>2500.0000000000005</v>
      </c>
      <c r="F197" s="14"/>
      <c r="G197" s="84">
        <v>28300</v>
      </c>
      <c r="H197" s="14" t="s">
        <v>65</v>
      </c>
      <c r="I197" s="84">
        <v>0</v>
      </c>
      <c r="J197" s="14"/>
      <c r="K197" s="84">
        <v>28300</v>
      </c>
      <c r="L197" s="14" t="s">
        <v>65</v>
      </c>
      <c r="M197" s="84">
        <v>0</v>
      </c>
      <c r="N197" s="14"/>
      <c r="O197" s="84">
        <v>14000.000000000002</v>
      </c>
      <c r="P197" s="14"/>
    </row>
    <row r="198" spans="1:16" ht="15" customHeight="1" x14ac:dyDescent="0.25">
      <c r="A198" s="98">
        <v>44051</v>
      </c>
      <c r="B198" s="32">
        <v>1842.6899999999998</v>
      </c>
      <c r="C198" s="14"/>
      <c r="D198" s="32">
        <v>0</v>
      </c>
      <c r="E198" s="84">
        <v>2500.0000000000005</v>
      </c>
      <c r="F198" s="14"/>
      <c r="G198" s="84">
        <v>28200.000000000004</v>
      </c>
      <c r="H198" s="14"/>
      <c r="I198" s="84">
        <v>0</v>
      </c>
      <c r="J198" s="14"/>
      <c r="K198" s="84">
        <v>28200.000000000004</v>
      </c>
      <c r="L198" s="14"/>
      <c r="M198" s="84">
        <v>0</v>
      </c>
      <c r="N198" s="14"/>
      <c r="O198" s="84">
        <v>14000.000000000002</v>
      </c>
      <c r="P198" s="14"/>
    </row>
    <row r="199" spans="1:16" ht="15" customHeight="1" x14ac:dyDescent="0.25">
      <c r="A199" s="98">
        <v>44052</v>
      </c>
      <c r="B199" s="32">
        <v>1842.7099999999998</v>
      </c>
      <c r="C199" s="14"/>
      <c r="D199" s="32">
        <v>0</v>
      </c>
      <c r="E199" s="84">
        <v>2500.0000000000005</v>
      </c>
      <c r="F199" s="14"/>
      <c r="G199" s="84">
        <v>26500</v>
      </c>
      <c r="H199" s="14"/>
      <c r="I199" s="84">
        <v>0</v>
      </c>
      <c r="J199" s="14"/>
      <c r="K199" s="84">
        <v>26500</v>
      </c>
      <c r="L199" s="14"/>
      <c r="M199" s="84">
        <v>0</v>
      </c>
      <c r="N199" s="14"/>
      <c r="O199" s="84">
        <v>15000.000000000002</v>
      </c>
      <c r="P199" s="14"/>
    </row>
    <row r="200" spans="1:16" ht="15" customHeight="1" x14ac:dyDescent="0.25">
      <c r="A200" s="98">
        <v>44053</v>
      </c>
      <c r="B200" s="32">
        <v>1842.5799999999997</v>
      </c>
      <c r="C200" s="14"/>
      <c r="D200" s="32">
        <v>0</v>
      </c>
      <c r="E200" s="84">
        <v>2500.0000000000005</v>
      </c>
      <c r="F200" s="14"/>
      <c r="G200" s="84">
        <v>27100.000000000004</v>
      </c>
      <c r="H200" s="14"/>
      <c r="I200" s="84">
        <v>0</v>
      </c>
      <c r="J200" s="14"/>
      <c r="K200" s="84">
        <v>27100.000000000004</v>
      </c>
      <c r="L200" s="14"/>
      <c r="M200" s="84">
        <v>0</v>
      </c>
      <c r="N200" s="14"/>
      <c r="O200" s="84">
        <v>15000.000000000002</v>
      </c>
      <c r="P200" s="14"/>
    </row>
    <row r="201" spans="1:16" ht="15" customHeight="1" x14ac:dyDescent="0.25">
      <c r="A201" s="98">
        <v>44054</v>
      </c>
      <c r="B201" s="32">
        <v>1841.8699999999997</v>
      </c>
      <c r="C201" s="14"/>
      <c r="D201" s="32">
        <v>0</v>
      </c>
      <c r="E201" s="84">
        <v>2400</v>
      </c>
      <c r="F201" s="14" t="s">
        <v>66</v>
      </c>
      <c r="G201" s="84">
        <v>26400.000000000004</v>
      </c>
      <c r="H201" s="14"/>
      <c r="I201" s="84">
        <v>0</v>
      </c>
      <c r="J201" s="14"/>
      <c r="K201" s="84">
        <v>26400.000000000004</v>
      </c>
      <c r="L201" s="14"/>
      <c r="M201" s="84">
        <v>0</v>
      </c>
      <c r="N201" s="14"/>
      <c r="O201" s="84">
        <v>15000.000000000002</v>
      </c>
      <c r="P201" s="14"/>
    </row>
    <row r="202" spans="1:16" ht="15" customHeight="1" x14ac:dyDescent="0.25">
      <c r="A202" s="98">
        <v>44055</v>
      </c>
      <c r="B202" s="32">
        <v>1842.3199999999997</v>
      </c>
      <c r="C202" s="14"/>
      <c r="D202" s="32">
        <v>0</v>
      </c>
      <c r="E202" s="84">
        <v>2400</v>
      </c>
      <c r="F202" s="14"/>
      <c r="G202" s="84">
        <v>27100.000000000004</v>
      </c>
      <c r="H202" s="14"/>
      <c r="I202" s="84">
        <v>0</v>
      </c>
      <c r="J202" s="14"/>
      <c r="K202" s="84">
        <v>27100.000000000004</v>
      </c>
      <c r="L202" s="14"/>
      <c r="M202" s="84">
        <v>0</v>
      </c>
      <c r="N202" s="14"/>
      <c r="O202" s="84">
        <v>15000.000000000002</v>
      </c>
      <c r="P202" s="14"/>
    </row>
    <row r="203" spans="1:16" ht="15" customHeight="1" x14ac:dyDescent="0.25">
      <c r="A203" s="98">
        <v>44056</v>
      </c>
      <c r="B203" s="32">
        <v>1842.3499999999997</v>
      </c>
      <c r="C203" s="14"/>
      <c r="D203" s="32">
        <v>0</v>
      </c>
      <c r="E203" s="84">
        <v>2400</v>
      </c>
      <c r="F203" s="14"/>
      <c r="G203" s="84">
        <v>27400</v>
      </c>
      <c r="H203" s="14"/>
      <c r="I203" s="84">
        <v>0</v>
      </c>
      <c r="J203" s="14"/>
      <c r="K203" s="84">
        <v>27400</v>
      </c>
      <c r="L203" s="14"/>
      <c r="M203" s="84">
        <v>400.00000011300699</v>
      </c>
      <c r="N203" s="14" t="s">
        <v>65</v>
      </c>
      <c r="O203" s="84">
        <v>15000.000000000002</v>
      </c>
      <c r="P203" s="14"/>
    </row>
    <row r="204" spans="1:16" ht="15" customHeight="1" x14ac:dyDescent="0.25">
      <c r="A204" s="98">
        <v>44057</v>
      </c>
      <c r="B204" s="32">
        <v>1842.2899999999997</v>
      </c>
      <c r="C204" s="14"/>
      <c r="D204" s="32">
        <v>0</v>
      </c>
      <c r="E204" s="84">
        <v>2400</v>
      </c>
      <c r="F204" s="14"/>
      <c r="G204" s="84">
        <v>26700</v>
      </c>
      <c r="H204" s="14"/>
      <c r="I204" s="84">
        <v>0</v>
      </c>
      <c r="J204" s="14"/>
      <c r="K204" s="84">
        <v>26700</v>
      </c>
      <c r="L204" s="14"/>
      <c r="M204" s="84">
        <v>0</v>
      </c>
      <c r="N204" s="14"/>
      <c r="O204" s="84">
        <v>15000.000000000002</v>
      </c>
      <c r="P204" s="14"/>
    </row>
    <row r="205" spans="1:16" ht="15" customHeight="1" x14ac:dyDescent="0.25">
      <c r="A205" s="98">
        <v>44058</v>
      </c>
      <c r="B205" s="32">
        <v>1842.2599999999998</v>
      </c>
      <c r="C205" s="14"/>
      <c r="D205" s="32">
        <v>0</v>
      </c>
      <c r="E205" s="84">
        <v>2500.0000000000005</v>
      </c>
      <c r="F205" s="14"/>
      <c r="G205" s="84">
        <v>26700</v>
      </c>
      <c r="H205" s="14"/>
      <c r="I205" s="84">
        <v>0</v>
      </c>
      <c r="J205" s="14"/>
      <c r="K205" s="84">
        <v>26700</v>
      </c>
      <c r="L205" s="14"/>
      <c r="M205" s="84">
        <v>0</v>
      </c>
      <c r="N205" s="14"/>
      <c r="O205" s="84">
        <v>15000.000000000002</v>
      </c>
      <c r="P205" s="14"/>
    </row>
    <row r="206" spans="1:16" ht="15" customHeight="1" x14ac:dyDescent="0.25">
      <c r="A206" s="98">
        <v>44059</v>
      </c>
      <c r="B206" s="32">
        <v>1842.05</v>
      </c>
      <c r="C206" s="14"/>
      <c r="D206" s="32">
        <v>0</v>
      </c>
      <c r="E206" s="84">
        <v>2400</v>
      </c>
      <c r="F206" s="14"/>
      <c r="G206" s="84">
        <v>25900.000000000004</v>
      </c>
      <c r="H206" s="14"/>
      <c r="I206" s="84">
        <v>0</v>
      </c>
      <c r="J206" s="14"/>
      <c r="K206" s="84">
        <v>25900.000000000004</v>
      </c>
      <c r="L206" s="14"/>
      <c r="M206" s="84">
        <v>0</v>
      </c>
      <c r="N206" s="14"/>
      <c r="O206" s="84">
        <v>15000</v>
      </c>
      <c r="P206" s="14"/>
    </row>
    <row r="207" spans="1:16" ht="15" customHeight="1" x14ac:dyDescent="0.25">
      <c r="A207" s="98">
        <v>44060</v>
      </c>
      <c r="B207" s="32">
        <v>1841.9399999999998</v>
      </c>
      <c r="C207" s="14"/>
      <c r="D207" s="32">
        <v>0</v>
      </c>
      <c r="E207" s="84">
        <v>2400</v>
      </c>
      <c r="F207" s="14"/>
      <c r="G207" s="84">
        <v>25800</v>
      </c>
      <c r="H207" s="14" t="s">
        <v>66</v>
      </c>
      <c r="I207" s="84">
        <v>0</v>
      </c>
      <c r="J207" s="14"/>
      <c r="K207" s="84">
        <v>25800</v>
      </c>
      <c r="L207" s="14" t="s">
        <v>66</v>
      </c>
      <c r="M207" s="84">
        <v>0</v>
      </c>
      <c r="N207" s="14"/>
      <c r="O207" s="84">
        <v>15000</v>
      </c>
      <c r="P207" s="14"/>
    </row>
    <row r="208" spans="1:16" ht="15" customHeight="1" x14ac:dyDescent="0.25">
      <c r="A208" s="98">
        <v>44061</v>
      </c>
      <c r="B208" s="32">
        <v>1841.96</v>
      </c>
      <c r="C208" s="14"/>
      <c r="D208" s="32">
        <v>0</v>
      </c>
      <c r="E208" s="84">
        <v>2400</v>
      </c>
      <c r="F208" s="14"/>
      <c r="G208" s="84">
        <v>26000</v>
      </c>
      <c r="H208" s="14"/>
      <c r="I208" s="84">
        <v>0</v>
      </c>
      <c r="J208" s="14"/>
      <c r="K208" s="84">
        <v>26000</v>
      </c>
      <c r="L208" s="14"/>
      <c r="M208" s="84">
        <v>0</v>
      </c>
      <c r="N208" s="14"/>
      <c r="O208" s="84">
        <v>16000.000000000002</v>
      </c>
      <c r="P208" s="14"/>
    </row>
    <row r="209" spans="1:16" ht="15" customHeight="1" x14ac:dyDescent="0.25">
      <c r="A209" s="98">
        <v>44062</v>
      </c>
      <c r="B209" s="32">
        <v>1841.8699999999997</v>
      </c>
      <c r="C209" s="14"/>
      <c r="D209" s="32">
        <v>0</v>
      </c>
      <c r="E209" s="84">
        <v>2400</v>
      </c>
      <c r="F209" s="14"/>
      <c r="G209" s="84">
        <v>26100.000000000004</v>
      </c>
      <c r="H209" s="14"/>
      <c r="I209" s="84">
        <v>0</v>
      </c>
      <c r="J209" s="14"/>
      <c r="K209" s="84">
        <v>26100.000000000004</v>
      </c>
      <c r="L209" s="14"/>
      <c r="M209" s="84">
        <v>0</v>
      </c>
      <c r="N209" s="14"/>
      <c r="O209" s="84">
        <v>16000.000000000002</v>
      </c>
      <c r="P209" s="14"/>
    </row>
    <row r="210" spans="1:16" ht="15" customHeight="1" x14ac:dyDescent="0.25">
      <c r="A210" s="98">
        <v>44063</v>
      </c>
      <c r="B210" s="32">
        <v>1841.79</v>
      </c>
      <c r="C210" s="14"/>
      <c r="D210" s="32">
        <v>0</v>
      </c>
      <c r="E210" s="84">
        <v>2400</v>
      </c>
      <c r="F210" s="14"/>
      <c r="G210" s="84">
        <v>26100.000000000004</v>
      </c>
      <c r="H210" s="14"/>
      <c r="I210" s="84">
        <v>0</v>
      </c>
      <c r="J210" s="14"/>
      <c r="K210" s="84">
        <v>26100.000000000004</v>
      </c>
      <c r="L210" s="14"/>
      <c r="M210" s="84">
        <v>0</v>
      </c>
      <c r="N210" s="14"/>
      <c r="O210" s="84">
        <v>16000.000000000002</v>
      </c>
      <c r="P210" s="14"/>
    </row>
    <row r="211" spans="1:16" ht="15" customHeight="1" x14ac:dyDescent="0.25">
      <c r="A211" s="98">
        <v>44064</v>
      </c>
      <c r="B211" s="32">
        <v>1841.76</v>
      </c>
      <c r="C211" s="14"/>
      <c r="D211" s="32">
        <v>0</v>
      </c>
      <c r="E211" s="84">
        <v>2400</v>
      </c>
      <c r="F211" s="14"/>
      <c r="G211" s="84">
        <v>26400.000000000004</v>
      </c>
      <c r="H211" s="14"/>
      <c r="I211" s="84">
        <v>0</v>
      </c>
      <c r="J211" s="14"/>
      <c r="K211" s="84">
        <v>26400.000000000004</v>
      </c>
      <c r="L211" s="14"/>
      <c r="M211" s="84">
        <v>0</v>
      </c>
      <c r="N211" s="14"/>
      <c r="O211" s="84">
        <v>16000.000000000002</v>
      </c>
      <c r="P211" s="14"/>
    </row>
    <row r="212" spans="1:16" ht="15" customHeight="1" x14ac:dyDescent="0.25">
      <c r="A212" s="98">
        <v>44065</v>
      </c>
      <c r="B212" s="32">
        <v>1841.5799999999997</v>
      </c>
      <c r="C212" s="14"/>
      <c r="D212" s="32">
        <v>0</v>
      </c>
      <c r="E212" s="84">
        <v>2400</v>
      </c>
      <c r="F212" s="14"/>
      <c r="G212" s="84">
        <v>26400.000000000004</v>
      </c>
      <c r="H212" s="14"/>
      <c r="I212" s="84">
        <v>0</v>
      </c>
      <c r="J212" s="14"/>
      <c r="K212" s="84">
        <v>26400.000000000004</v>
      </c>
      <c r="L212" s="14"/>
      <c r="M212" s="84">
        <v>0</v>
      </c>
      <c r="N212" s="14"/>
      <c r="O212" s="84">
        <v>16000.000000000002</v>
      </c>
      <c r="P212" s="14"/>
    </row>
    <row r="213" spans="1:16" ht="15" customHeight="1" x14ac:dyDescent="0.25">
      <c r="A213" s="98">
        <v>44066</v>
      </c>
      <c r="B213" s="32">
        <v>1841.4299999999998</v>
      </c>
      <c r="C213" s="14"/>
      <c r="D213" s="32">
        <v>0</v>
      </c>
      <c r="E213" s="84">
        <v>2400</v>
      </c>
      <c r="F213" s="14"/>
      <c r="G213" s="84">
        <v>26400.000000000004</v>
      </c>
      <c r="H213" s="14"/>
      <c r="I213" s="84">
        <v>0</v>
      </c>
      <c r="J213" s="14"/>
      <c r="K213" s="84">
        <v>26400.000000000004</v>
      </c>
      <c r="L213" s="14"/>
      <c r="M213" s="84">
        <v>0</v>
      </c>
      <c r="N213" s="14"/>
      <c r="O213" s="84">
        <v>15000.000000000002</v>
      </c>
      <c r="P213" s="14"/>
    </row>
    <row r="214" spans="1:16" ht="15" customHeight="1" x14ac:dyDescent="0.25">
      <c r="A214" s="98">
        <v>44067</v>
      </c>
      <c r="B214" s="32">
        <v>1841.27</v>
      </c>
      <c r="C214" s="14"/>
      <c r="D214" s="32">
        <v>0</v>
      </c>
      <c r="E214" s="84">
        <v>2400</v>
      </c>
      <c r="F214" s="14"/>
      <c r="G214" s="84">
        <v>27500.000000000004</v>
      </c>
      <c r="H214" s="14"/>
      <c r="I214" s="84">
        <v>0</v>
      </c>
      <c r="J214" s="14"/>
      <c r="K214" s="84">
        <v>27500.000000000004</v>
      </c>
      <c r="L214" s="14"/>
      <c r="M214" s="84">
        <v>0</v>
      </c>
      <c r="N214" s="14"/>
      <c r="O214" s="84">
        <v>14000.000000000002</v>
      </c>
      <c r="P214" s="14"/>
    </row>
    <row r="215" spans="1:16" ht="15" customHeight="1" x14ac:dyDescent="0.25">
      <c r="A215" s="98">
        <v>44068</v>
      </c>
      <c r="B215" s="32">
        <v>1841.28</v>
      </c>
      <c r="C215" s="14"/>
      <c r="D215" s="32">
        <v>0</v>
      </c>
      <c r="E215" s="84">
        <v>2400</v>
      </c>
      <c r="F215" s="14"/>
      <c r="G215" s="84">
        <v>26400.000000000004</v>
      </c>
      <c r="H215" s="14"/>
      <c r="I215" s="84">
        <v>0</v>
      </c>
      <c r="J215" s="14"/>
      <c r="K215" s="84">
        <v>26400.000000000004</v>
      </c>
      <c r="L215" s="14"/>
      <c r="M215" s="84">
        <v>0</v>
      </c>
      <c r="N215" s="14"/>
      <c r="O215" s="84">
        <v>14000.000000000002</v>
      </c>
      <c r="P215" s="14"/>
    </row>
    <row r="216" spans="1:16" ht="15" customHeight="1" x14ac:dyDescent="0.25">
      <c r="A216" s="98">
        <v>44069</v>
      </c>
      <c r="B216" s="32">
        <v>1841.1699999999998</v>
      </c>
      <c r="C216" s="14"/>
      <c r="D216" s="32">
        <v>0</v>
      </c>
      <c r="E216" s="84">
        <v>2400</v>
      </c>
      <c r="F216" s="14"/>
      <c r="G216" s="84">
        <v>26700</v>
      </c>
      <c r="H216" s="14"/>
      <c r="I216" s="84">
        <v>0</v>
      </c>
      <c r="J216" s="14"/>
      <c r="K216" s="84">
        <v>26700</v>
      </c>
      <c r="L216" s="14"/>
      <c r="M216" s="84">
        <v>100.00000002825175</v>
      </c>
      <c r="N216" s="14"/>
      <c r="O216" s="84">
        <v>14000.000000000002</v>
      </c>
      <c r="P216" s="14"/>
    </row>
    <row r="217" spans="1:16" ht="15" customHeight="1" x14ac:dyDescent="0.25">
      <c r="A217" s="98">
        <v>44070</v>
      </c>
      <c r="B217" s="32">
        <v>1841.2599999999998</v>
      </c>
      <c r="C217" s="14"/>
      <c r="D217" s="32">
        <v>0</v>
      </c>
      <c r="E217" s="84">
        <v>2400</v>
      </c>
      <c r="F217" s="14"/>
      <c r="G217" s="84">
        <v>27300.000000000004</v>
      </c>
      <c r="H217" s="14"/>
      <c r="I217" s="84">
        <v>0</v>
      </c>
      <c r="J217" s="14"/>
      <c r="K217" s="84">
        <v>27300.000000000004</v>
      </c>
      <c r="L217" s="14"/>
      <c r="M217" s="84">
        <v>100.00000002825175</v>
      </c>
      <c r="N217" s="14"/>
      <c r="O217" s="84">
        <v>14000.000000000002</v>
      </c>
      <c r="P217" s="14"/>
    </row>
    <row r="218" spans="1:16" ht="15" customHeight="1" x14ac:dyDescent="0.25">
      <c r="A218" s="98">
        <v>44071</v>
      </c>
      <c r="B218" s="32">
        <v>1841.08</v>
      </c>
      <c r="C218" s="14"/>
      <c r="D218" s="32">
        <v>0</v>
      </c>
      <c r="E218" s="84">
        <v>2400</v>
      </c>
      <c r="F218" s="14"/>
      <c r="G218" s="84">
        <v>26800.000000000004</v>
      </c>
      <c r="H218" s="14"/>
      <c r="I218" s="84">
        <v>0</v>
      </c>
      <c r="J218" s="14"/>
      <c r="K218" s="84">
        <v>26800.000000000004</v>
      </c>
      <c r="L218" s="14"/>
      <c r="M218" s="84">
        <v>100.00000002825175</v>
      </c>
      <c r="N218" s="14"/>
      <c r="O218" s="84">
        <v>14000.000000000002</v>
      </c>
      <c r="P218" s="14"/>
    </row>
    <row r="219" spans="1:16" ht="15" customHeight="1" x14ac:dyDescent="0.25">
      <c r="A219" s="98">
        <v>44072</v>
      </c>
      <c r="B219" s="32">
        <v>1840.7999999999997</v>
      </c>
      <c r="C219" s="14"/>
      <c r="D219" s="32">
        <v>0</v>
      </c>
      <c r="E219" s="84">
        <v>2400</v>
      </c>
      <c r="F219" s="14"/>
      <c r="G219" s="84">
        <v>26500</v>
      </c>
      <c r="H219" s="14"/>
      <c r="I219" s="84">
        <v>0</v>
      </c>
      <c r="J219" s="14"/>
      <c r="K219" s="84">
        <v>26500</v>
      </c>
      <c r="L219" s="14"/>
      <c r="M219" s="84">
        <v>100.00000002825175</v>
      </c>
      <c r="N219" s="14"/>
      <c r="O219" s="84">
        <v>14000.000000000002</v>
      </c>
      <c r="P219" s="14"/>
    </row>
    <row r="220" spans="1:16" ht="15" customHeight="1" x14ac:dyDescent="0.25">
      <c r="A220" s="98">
        <v>44073</v>
      </c>
      <c r="B220" s="32">
        <v>1840.93</v>
      </c>
      <c r="C220" s="14"/>
      <c r="D220" s="32">
        <v>0</v>
      </c>
      <c r="E220" s="84">
        <v>2400</v>
      </c>
      <c r="F220" s="14"/>
      <c r="G220" s="84">
        <v>27100.000000000004</v>
      </c>
      <c r="H220" s="14"/>
      <c r="I220" s="84">
        <v>0</v>
      </c>
      <c r="J220" s="14"/>
      <c r="K220" s="84">
        <v>27100.000000000004</v>
      </c>
      <c r="L220" s="14"/>
      <c r="M220" s="84">
        <v>100.00000002825175</v>
      </c>
      <c r="N220" s="14"/>
      <c r="O220" s="84">
        <v>14000.000000000002</v>
      </c>
      <c r="P220" s="14"/>
    </row>
    <row r="221" spans="1:16" ht="15" customHeight="1" x14ac:dyDescent="0.25">
      <c r="A221" s="98">
        <v>44074</v>
      </c>
      <c r="B221" s="32">
        <v>1840.7099999999998</v>
      </c>
      <c r="C221" s="14" t="s">
        <v>66</v>
      </c>
      <c r="D221" s="32">
        <v>0</v>
      </c>
      <c r="E221" s="84">
        <v>2400</v>
      </c>
      <c r="F221" s="14"/>
      <c r="G221" s="84">
        <v>26800.000000000004</v>
      </c>
      <c r="H221" s="14"/>
      <c r="I221" s="84">
        <v>0</v>
      </c>
      <c r="J221" s="14"/>
      <c r="K221" s="84">
        <v>26800.000000000004</v>
      </c>
      <c r="L221" s="14"/>
      <c r="M221" s="84">
        <v>100.00000002825175</v>
      </c>
      <c r="N221" s="14"/>
      <c r="O221" s="84">
        <v>14000.000000000002</v>
      </c>
      <c r="P221" s="14"/>
    </row>
    <row r="222" spans="1:16" ht="15" customHeight="1" x14ac:dyDescent="0.25">
      <c r="A222" s="83" t="s">
        <v>0</v>
      </c>
      <c r="B222" s="83"/>
      <c r="C222" s="83"/>
      <c r="D222" s="32">
        <v>0</v>
      </c>
      <c r="E222" s="84">
        <v>75500</v>
      </c>
      <c r="F222" s="99"/>
      <c r="G222" s="84">
        <v>837700</v>
      </c>
      <c r="H222" s="99"/>
      <c r="I222" s="84">
        <v>0</v>
      </c>
      <c r="J222" s="100"/>
      <c r="K222" s="84">
        <v>837700</v>
      </c>
      <c r="L222" s="100"/>
      <c r="M222" s="84">
        <v>1000</v>
      </c>
      <c r="N222" s="100"/>
      <c r="O222" s="84">
        <v>462000</v>
      </c>
      <c r="P222" s="100"/>
    </row>
    <row r="223" spans="1:16" ht="15" customHeight="1" x14ac:dyDescent="0.25">
      <c r="A223" s="83" t="s">
        <v>1</v>
      </c>
      <c r="B223" s="83"/>
      <c r="C223" s="83"/>
      <c r="D223" s="101"/>
      <c r="E223" s="84">
        <v>149800</v>
      </c>
      <c r="F223" s="99"/>
      <c r="G223" s="84">
        <v>1662000</v>
      </c>
      <c r="H223" s="99"/>
      <c r="I223" s="84">
        <v>0</v>
      </c>
      <c r="J223" s="100"/>
      <c r="K223" s="84">
        <v>1662000</v>
      </c>
      <c r="L223" s="100"/>
      <c r="M223" s="84">
        <v>2000</v>
      </c>
      <c r="N223" s="100"/>
      <c r="O223" s="84">
        <v>916000</v>
      </c>
      <c r="P223" s="100"/>
    </row>
    <row r="224" spans="1:16" ht="15" customHeight="1" x14ac:dyDescent="0.25">
      <c r="A224" s="102" t="s">
        <v>2</v>
      </c>
      <c r="B224" s="32">
        <v>1842.0538709677419</v>
      </c>
      <c r="C224" s="103"/>
      <c r="D224" s="32">
        <v>0</v>
      </c>
      <c r="E224" s="84">
        <v>2400</v>
      </c>
      <c r="F224" s="99"/>
      <c r="G224" s="84">
        <v>27000</v>
      </c>
      <c r="H224" s="99"/>
      <c r="I224" s="84">
        <v>0</v>
      </c>
      <c r="J224" s="100"/>
      <c r="K224" s="84">
        <v>27000</v>
      </c>
      <c r="L224" s="100"/>
      <c r="M224" s="84">
        <v>0</v>
      </c>
      <c r="N224" s="100"/>
      <c r="O224" s="84">
        <v>14900</v>
      </c>
      <c r="P224" s="100"/>
    </row>
    <row r="225" spans="1:16" ht="15" customHeight="1" x14ac:dyDescent="0.25">
      <c r="A225" s="83" t="s">
        <v>25</v>
      </c>
      <c r="B225" s="83"/>
      <c r="C225" s="83"/>
      <c r="D225" s="83"/>
      <c r="E225" s="81" t="s">
        <v>31</v>
      </c>
      <c r="F225" s="88">
        <v>18783000</v>
      </c>
      <c r="G225" s="88"/>
      <c r="H225" s="62"/>
      <c r="I225" s="62"/>
      <c r="J225" s="61"/>
      <c r="K225" s="81"/>
      <c r="L225" s="83" t="s">
        <v>44</v>
      </c>
      <c r="M225" s="83"/>
      <c r="N225" s="88">
        <v>-897000</v>
      </c>
      <c r="O225" s="88"/>
      <c r="P225" s="105"/>
    </row>
    <row r="226" spans="1:16" ht="15" customHeight="1" x14ac:dyDescent="0.25">
      <c r="A226" s="104" t="s">
        <v>32</v>
      </c>
      <c r="B226" s="60"/>
      <c r="C226" s="61"/>
      <c r="D226" s="83" t="s">
        <v>46</v>
      </c>
      <c r="E226" s="83"/>
      <c r="F226" s="88">
        <v>19650999.999999996</v>
      </c>
      <c r="G226" s="88"/>
      <c r="H226" s="62"/>
      <c r="I226" s="62"/>
      <c r="J226" s="61"/>
      <c r="K226" s="83" t="s">
        <v>54</v>
      </c>
      <c r="L226" s="83"/>
      <c r="M226" s="83"/>
      <c r="N226" s="88">
        <v>18783000</v>
      </c>
      <c r="O226" s="88"/>
      <c r="P226" s="61"/>
    </row>
    <row r="227" spans="1:16" ht="15" customHeight="1" x14ac:dyDescent="0.25">
      <c r="A227" s="104" t="s">
        <v>30</v>
      </c>
      <c r="B227" s="60"/>
      <c r="C227" s="61"/>
      <c r="D227" s="83" t="s">
        <v>45</v>
      </c>
      <c r="E227" s="83"/>
      <c r="F227" s="66" t="s">
        <v>87</v>
      </c>
      <c r="G227" s="66"/>
      <c r="H227" s="62"/>
      <c r="I227" s="62"/>
      <c r="J227" s="61"/>
      <c r="K227" s="62"/>
      <c r="L227" s="61"/>
      <c r="M227" s="62"/>
      <c r="N227" s="61"/>
      <c r="O227" s="62"/>
      <c r="P227" s="61"/>
    </row>
    <row r="228" spans="1:16" ht="15" customHeight="1" x14ac:dyDescent="0.25">
      <c r="A228" s="89" t="s">
        <v>89</v>
      </c>
      <c r="B228" s="89"/>
      <c r="C228" s="89"/>
      <c r="D228" s="89"/>
      <c r="E228" s="89"/>
      <c r="F228" s="89"/>
      <c r="G228" s="89"/>
      <c r="H228" s="89"/>
      <c r="I228" s="89"/>
      <c r="J228" s="89"/>
      <c r="K228" s="89"/>
      <c r="L228" s="89"/>
      <c r="M228" s="89"/>
      <c r="N228" s="89"/>
      <c r="O228" s="90">
        <v>44044</v>
      </c>
      <c r="P228" s="90"/>
    </row>
    <row r="229" spans="1:16" ht="15" customHeight="1" x14ac:dyDescent="0.25">
      <c r="A229" s="89"/>
      <c r="B229" s="89"/>
      <c r="C229" s="89"/>
      <c r="D229" s="89"/>
      <c r="E229" s="89"/>
      <c r="F229" s="89"/>
      <c r="G229" s="89"/>
      <c r="H229" s="89"/>
      <c r="I229" s="89"/>
      <c r="J229" s="89"/>
      <c r="K229" s="89"/>
      <c r="L229" s="89"/>
      <c r="M229" s="89"/>
      <c r="N229" s="89"/>
      <c r="O229" s="90"/>
      <c r="P229" s="90"/>
    </row>
    <row r="230" spans="1:16" ht="15" customHeight="1" x14ac:dyDescent="0.25">
      <c r="A230" s="89"/>
      <c r="B230" s="89"/>
      <c r="C230" s="89"/>
      <c r="D230" s="89"/>
      <c r="E230" s="89"/>
      <c r="F230" s="89"/>
      <c r="G230" s="89"/>
      <c r="H230" s="89"/>
      <c r="I230" s="89"/>
      <c r="J230" s="89"/>
      <c r="K230" s="89"/>
      <c r="L230" s="89"/>
      <c r="M230" s="89"/>
      <c r="N230" s="89"/>
      <c r="O230" s="90"/>
      <c r="P230" s="90"/>
    </row>
    <row r="231" spans="1:16" ht="15.75" customHeight="1" x14ac:dyDescent="0.25">
      <c r="A231" s="91" t="s">
        <v>43</v>
      </c>
      <c r="B231" s="91"/>
      <c r="C231" s="91"/>
      <c r="D231" s="91"/>
      <c r="E231" s="91"/>
      <c r="F231" s="91"/>
      <c r="G231" s="91"/>
      <c r="H231" s="91"/>
      <c r="I231" s="91"/>
      <c r="J231" s="91"/>
      <c r="K231" s="91"/>
      <c r="L231" s="91"/>
      <c r="M231" s="91"/>
    </row>
    <row r="232" spans="1:16" ht="15.75" customHeight="1" x14ac:dyDescent="0.25">
      <c r="A232" s="91" t="s">
        <v>48</v>
      </c>
      <c r="B232" s="91"/>
      <c r="C232" s="91"/>
      <c r="D232" s="91"/>
      <c r="E232" s="91"/>
      <c r="F232" s="91" t="s">
        <v>36</v>
      </c>
      <c r="G232" s="91"/>
      <c r="H232" s="91"/>
      <c r="I232" s="91"/>
      <c r="J232" s="91"/>
      <c r="K232" s="91"/>
      <c r="L232" s="91"/>
      <c r="M232" s="91"/>
    </row>
    <row r="233" spans="1:16" ht="15.75" customHeight="1" x14ac:dyDescent="0.25">
      <c r="A233" s="83" t="s">
        <v>52</v>
      </c>
      <c r="B233" s="83"/>
      <c r="C233" s="83"/>
      <c r="D233" s="83"/>
      <c r="E233" s="83"/>
      <c r="F233" s="92">
        <v>44044</v>
      </c>
      <c r="G233" s="92"/>
      <c r="H233" s="92"/>
      <c r="I233" s="93" t="s">
        <v>35</v>
      </c>
      <c r="J233" s="94"/>
      <c r="K233" s="94"/>
      <c r="L233" s="94"/>
      <c r="M233" s="94"/>
    </row>
    <row r="234" spans="1:16" ht="15" customHeight="1" x14ac:dyDescent="0.25">
      <c r="A234" s="95"/>
      <c r="B234" s="95"/>
      <c r="C234" s="95"/>
      <c r="D234" s="83" t="s">
        <v>56</v>
      </c>
      <c r="E234" s="83"/>
      <c r="F234" s="83"/>
      <c r="G234" s="83" t="s">
        <v>34</v>
      </c>
      <c r="H234" s="83"/>
      <c r="I234" s="83"/>
      <c r="J234" s="83"/>
      <c r="K234" s="83"/>
      <c r="L234" s="83"/>
      <c r="M234" s="83"/>
    </row>
    <row r="235" spans="1:16" ht="15" customHeight="1" x14ac:dyDescent="0.25">
      <c r="A235" s="96">
        <v>44044</v>
      </c>
      <c r="B235" s="83" t="s">
        <v>27</v>
      </c>
      <c r="C235" s="94"/>
      <c r="D235" s="82" t="s">
        <v>57</v>
      </c>
      <c r="E235" s="82" t="s">
        <v>58</v>
      </c>
      <c r="F235" s="94"/>
      <c r="G235" s="83" t="s">
        <v>28</v>
      </c>
      <c r="H235" s="83"/>
      <c r="I235" s="83"/>
      <c r="J235" s="83"/>
      <c r="K235" s="83"/>
      <c r="L235" s="83"/>
      <c r="M235" s="82" t="s">
        <v>29</v>
      </c>
    </row>
    <row r="236" spans="1:16" ht="15" customHeight="1" x14ac:dyDescent="0.25">
      <c r="A236" s="97">
        <v>44044</v>
      </c>
      <c r="B236" s="83" t="s">
        <v>42</v>
      </c>
      <c r="C236" s="94"/>
      <c r="D236" s="81" t="s">
        <v>40</v>
      </c>
      <c r="E236" s="81" t="s">
        <v>41</v>
      </c>
      <c r="F236" s="60"/>
      <c r="G236" s="81" t="s">
        <v>37</v>
      </c>
      <c r="H236" s="81"/>
      <c r="I236" s="81" t="s">
        <v>38</v>
      </c>
      <c r="J236" s="81"/>
      <c r="K236" s="81" t="s">
        <v>39</v>
      </c>
      <c r="L236" s="81"/>
      <c r="M236" s="81"/>
    </row>
    <row r="237" spans="1:16" ht="15" customHeight="1" x14ac:dyDescent="0.25">
      <c r="A237" s="98">
        <v>44044</v>
      </c>
      <c r="B237" s="32">
        <v>2240.06</v>
      </c>
      <c r="C237" s="14" t="s">
        <v>65</v>
      </c>
      <c r="D237" s="32">
        <v>0.4</v>
      </c>
      <c r="E237" s="84">
        <v>2400</v>
      </c>
      <c r="F237" s="14"/>
      <c r="G237" s="84">
        <v>8500</v>
      </c>
      <c r="H237" s="14"/>
      <c r="I237" s="84">
        <v>0</v>
      </c>
      <c r="J237" s="14" t="s">
        <v>65</v>
      </c>
      <c r="K237" s="84">
        <v>8500</v>
      </c>
      <c r="L237" s="14"/>
      <c r="M237" s="84">
        <v>8000.0000000000009</v>
      </c>
      <c r="N237" s="14" t="s">
        <v>65</v>
      </c>
    </row>
    <row r="238" spans="1:16" ht="15" customHeight="1" x14ac:dyDescent="0.25">
      <c r="A238" s="98">
        <v>44045</v>
      </c>
      <c r="B238" s="32">
        <v>2239.9499999999998</v>
      </c>
      <c r="C238" s="14"/>
      <c r="D238" s="32">
        <v>0.4</v>
      </c>
      <c r="E238" s="84">
        <v>2400</v>
      </c>
      <c r="F238" s="14"/>
      <c r="G238" s="84">
        <v>8100.0000000000009</v>
      </c>
      <c r="H238" s="14" t="s">
        <v>66</v>
      </c>
      <c r="I238" s="84">
        <v>0</v>
      </c>
      <c r="J238" s="14" t="s">
        <v>66</v>
      </c>
      <c r="K238" s="84">
        <v>8100.0000000000009</v>
      </c>
      <c r="L238" s="14" t="s">
        <v>66</v>
      </c>
      <c r="M238" s="84">
        <v>8000.0000000000009</v>
      </c>
      <c r="N238" s="14"/>
    </row>
    <row r="239" spans="1:16" ht="15" customHeight="1" x14ac:dyDescent="0.25">
      <c r="A239" s="98">
        <v>44046</v>
      </c>
      <c r="B239" s="32">
        <v>2240.0100000000002</v>
      </c>
      <c r="C239" s="14"/>
      <c r="D239" s="32">
        <v>0.4</v>
      </c>
      <c r="E239" s="84">
        <v>2400</v>
      </c>
      <c r="F239" s="14"/>
      <c r="G239" s="84">
        <v>8500</v>
      </c>
      <c r="H239" s="14"/>
      <c r="I239" s="84">
        <v>0</v>
      </c>
      <c r="J239" s="14"/>
      <c r="K239" s="84">
        <v>8500</v>
      </c>
      <c r="L239" s="14"/>
      <c r="M239" s="84">
        <v>8000.0000000000009</v>
      </c>
      <c r="N239" s="14"/>
    </row>
    <row r="240" spans="1:16" ht="15" customHeight="1" x14ac:dyDescent="0.25">
      <c r="A240" s="98">
        <v>44047</v>
      </c>
      <c r="B240" s="32">
        <v>2240.0100000000002</v>
      </c>
      <c r="C240" s="14"/>
      <c r="D240" s="32">
        <v>0.3</v>
      </c>
      <c r="E240" s="84">
        <v>1900</v>
      </c>
      <c r="F240" s="14"/>
      <c r="G240" s="84">
        <v>8800.0000000000018</v>
      </c>
      <c r="H240" s="14"/>
      <c r="I240" s="84">
        <v>0</v>
      </c>
      <c r="J240" s="14"/>
      <c r="K240" s="84">
        <v>8800.0000000000018</v>
      </c>
      <c r="L240" s="14"/>
      <c r="M240" s="84">
        <v>7000.0000000000009</v>
      </c>
      <c r="N240" s="14"/>
    </row>
    <row r="241" spans="1:14" ht="15" customHeight="1" x14ac:dyDescent="0.25">
      <c r="A241" s="98">
        <v>44048</v>
      </c>
      <c r="B241" s="32">
        <v>2239.9499999999998</v>
      </c>
      <c r="C241" s="14"/>
      <c r="D241" s="32">
        <v>0.3</v>
      </c>
      <c r="E241" s="84">
        <v>1800.0000000000002</v>
      </c>
      <c r="F241" s="14"/>
      <c r="G241" s="84">
        <v>8800.0000000000018</v>
      </c>
      <c r="H241" s="14"/>
      <c r="I241" s="84">
        <v>0</v>
      </c>
      <c r="J241" s="14"/>
      <c r="K241" s="84">
        <v>8800.0000000000018</v>
      </c>
      <c r="L241" s="14"/>
      <c r="M241" s="84">
        <v>7000.0000000000009</v>
      </c>
      <c r="N241" s="14"/>
    </row>
    <row r="242" spans="1:14" ht="15" customHeight="1" x14ac:dyDescent="0.25">
      <c r="A242" s="98">
        <v>44049</v>
      </c>
      <c r="B242" s="32">
        <v>2239.91</v>
      </c>
      <c r="C242" s="14"/>
      <c r="D242" s="32">
        <v>0.4</v>
      </c>
      <c r="E242" s="84">
        <v>2400</v>
      </c>
      <c r="F242" s="14"/>
      <c r="G242" s="84">
        <v>8400</v>
      </c>
      <c r="H242" s="14"/>
      <c r="I242" s="84">
        <v>0</v>
      </c>
      <c r="J242" s="14"/>
      <c r="K242" s="84">
        <v>8400</v>
      </c>
      <c r="L242" s="14"/>
      <c r="M242" s="84">
        <v>8000.0000000000009</v>
      </c>
      <c r="N242" s="14"/>
    </row>
    <row r="243" spans="1:14" ht="15" customHeight="1" x14ac:dyDescent="0.25">
      <c r="A243" s="98">
        <v>44050</v>
      </c>
      <c r="B243" s="32">
        <v>2239.9</v>
      </c>
      <c r="C243" s="14"/>
      <c r="D243" s="32">
        <v>0.4</v>
      </c>
      <c r="E243" s="84">
        <v>2400</v>
      </c>
      <c r="F243" s="14"/>
      <c r="G243" s="84">
        <v>8700.0000000000018</v>
      </c>
      <c r="H243" s="14"/>
      <c r="I243" s="84">
        <v>0</v>
      </c>
      <c r="J243" s="14"/>
      <c r="K243" s="84">
        <v>8700.0000000000018</v>
      </c>
      <c r="L243" s="14"/>
      <c r="M243" s="84">
        <v>8000.0000000000009</v>
      </c>
      <c r="N243" s="14"/>
    </row>
    <row r="244" spans="1:14" ht="15" customHeight="1" x14ac:dyDescent="0.25">
      <c r="A244" s="98">
        <v>44051</v>
      </c>
      <c r="B244" s="32">
        <v>2239.8699999999994</v>
      </c>
      <c r="C244" s="14"/>
      <c r="D244" s="32">
        <v>0.4</v>
      </c>
      <c r="E244" s="84">
        <v>2400</v>
      </c>
      <c r="F244" s="14"/>
      <c r="G244" s="84">
        <v>8800.0000000000018</v>
      </c>
      <c r="H244" s="14"/>
      <c r="I244" s="84">
        <v>0</v>
      </c>
      <c r="J244" s="14"/>
      <c r="K244" s="84">
        <v>8800.0000000000018</v>
      </c>
      <c r="L244" s="14"/>
      <c r="M244" s="84">
        <v>7000.0000000000009</v>
      </c>
      <c r="N244" s="14"/>
    </row>
    <row r="245" spans="1:14" ht="15" customHeight="1" x14ac:dyDescent="0.25">
      <c r="A245" s="98">
        <v>44052</v>
      </c>
      <c r="B245" s="32">
        <v>2239.83</v>
      </c>
      <c r="C245" s="14"/>
      <c r="D245" s="32">
        <v>0.4</v>
      </c>
      <c r="E245" s="84">
        <v>2400</v>
      </c>
      <c r="F245" s="14"/>
      <c r="G245" s="84">
        <v>8700.0000000000018</v>
      </c>
      <c r="H245" s="14"/>
      <c r="I245" s="84">
        <v>0</v>
      </c>
      <c r="J245" s="14"/>
      <c r="K245" s="84">
        <v>8700.0000000000018</v>
      </c>
      <c r="L245" s="14"/>
      <c r="M245" s="84">
        <v>7000.0000000000009</v>
      </c>
      <c r="N245" s="14"/>
    </row>
    <row r="246" spans="1:14" ht="15" customHeight="1" x14ac:dyDescent="0.25">
      <c r="A246" s="98">
        <v>44053</v>
      </c>
      <c r="B246" s="32">
        <v>2239.7600000000002</v>
      </c>
      <c r="C246" s="14"/>
      <c r="D246" s="32">
        <v>0.2</v>
      </c>
      <c r="E246" s="84">
        <v>1500</v>
      </c>
      <c r="F246" s="14" t="s">
        <v>66</v>
      </c>
      <c r="G246" s="84">
        <v>8700.0000000000018</v>
      </c>
      <c r="H246" s="14"/>
      <c r="I246" s="84">
        <v>0</v>
      </c>
      <c r="J246" s="14"/>
      <c r="K246" s="84">
        <v>8700.0000000000018</v>
      </c>
      <c r="L246" s="14"/>
      <c r="M246" s="84">
        <v>7000.0000000000009</v>
      </c>
      <c r="N246" s="14"/>
    </row>
    <row r="247" spans="1:14" ht="15" customHeight="1" x14ac:dyDescent="0.25">
      <c r="A247" s="98">
        <v>44054</v>
      </c>
      <c r="B247" s="32">
        <v>2239.7399999999998</v>
      </c>
      <c r="C247" s="14"/>
      <c r="D247" s="32">
        <v>0.3</v>
      </c>
      <c r="E247" s="84">
        <v>1800.0000000000002</v>
      </c>
      <c r="F247" s="14"/>
      <c r="G247" s="84">
        <v>8800.0000000000018</v>
      </c>
      <c r="H247" s="14"/>
      <c r="I247" s="84">
        <v>0</v>
      </c>
      <c r="J247" s="14"/>
      <c r="K247" s="84">
        <v>8800.0000000000018</v>
      </c>
      <c r="L247" s="14"/>
      <c r="M247" s="84">
        <v>7000.0000000000009</v>
      </c>
      <c r="N247" s="14"/>
    </row>
    <row r="248" spans="1:14" ht="15" customHeight="1" x14ac:dyDescent="0.25">
      <c r="A248" s="98">
        <v>44055</v>
      </c>
      <c r="B248" s="32">
        <v>2239.71</v>
      </c>
      <c r="C248" s="14"/>
      <c r="D248" s="32">
        <v>0.4</v>
      </c>
      <c r="E248" s="84">
        <v>3000</v>
      </c>
      <c r="F248" s="14" t="s">
        <v>65</v>
      </c>
      <c r="G248" s="84">
        <v>8700.0000000000018</v>
      </c>
      <c r="H248" s="14"/>
      <c r="I248" s="84">
        <v>0</v>
      </c>
      <c r="J248" s="14"/>
      <c r="K248" s="84">
        <v>8700.0000000000018</v>
      </c>
      <c r="L248" s="14"/>
      <c r="M248" s="84">
        <v>7000.0000000000009</v>
      </c>
      <c r="N248" s="14"/>
    </row>
    <row r="249" spans="1:14" ht="15" customHeight="1" x14ac:dyDescent="0.25">
      <c r="A249" s="98">
        <v>44056</v>
      </c>
      <c r="B249" s="32">
        <v>2239.66</v>
      </c>
      <c r="C249" s="14"/>
      <c r="D249" s="32">
        <v>0.4</v>
      </c>
      <c r="E249" s="84">
        <v>3000</v>
      </c>
      <c r="F249" s="14"/>
      <c r="G249" s="84">
        <v>9500</v>
      </c>
      <c r="H249" s="14"/>
      <c r="I249" s="84">
        <v>0</v>
      </c>
      <c r="J249" s="14"/>
      <c r="K249" s="84">
        <v>9500</v>
      </c>
      <c r="L249" s="14"/>
      <c r="M249" s="84">
        <v>7000.0000000000009</v>
      </c>
      <c r="N249" s="14"/>
    </row>
    <row r="250" spans="1:14" ht="15" customHeight="1" x14ac:dyDescent="0.25">
      <c r="A250" s="98">
        <v>44057</v>
      </c>
      <c r="B250" s="32">
        <v>2239.58</v>
      </c>
      <c r="C250" s="14"/>
      <c r="D250" s="32">
        <v>0.4</v>
      </c>
      <c r="E250" s="84">
        <v>3000</v>
      </c>
      <c r="F250" s="14"/>
      <c r="G250" s="84">
        <v>10900.000000000002</v>
      </c>
      <c r="H250" s="14"/>
      <c r="I250" s="84">
        <v>0</v>
      </c>
      <c r="J250" s="14"/>
      <c r="K250" s="84">
        <v>10900.000000000002</v>
      </c>
      <c r="L250" s="14"/>
      <c r="M250" s="84">
        <v>6000</v>
      </c>
      <c r="N250" s="14" t="s">
        <v>66</v>
      </c>
    </row>
    <row r="251" spans="1:14" ht="15" customHeight="1" x14ac:dyDescent="0.25">
      <c r="A251" s="98">
        <v>44058</v>
      </c>
      <c r="B251" s="32">
        <v>2239.5099999999998</v>
      </c>
      <c r="C251" s="14"/>
      <c r="D251" s="32">
        <v>0.4</v>
      </c>
      <c r="E251" s="84">
        <v>3000</v>
      </c>
      <c r="F251" s="14"/>
      <c r="G251" s="84">
        <v>11300</v>
      </c>
      <c r="H251" s="14"/>
      <c r="I251" s="84">
        <v>0</v>
      </c>
      <c r="J251" s="14"/>
      <c r="K251" s="84">
        <v>11300</v>
      </c>
      <c r="L251" s="14"/>
      <c r="M251" s="84">
        <v>6000</v>
      </c>
      <c r="N251" s="14"/>
    </row>
    <row r="252" spans="1:14" ht="15" customHeight="1" x14ac:dyDescent="0.25">
      <c r="A252" s="98">
        <v>44059</v>
      </c>
      <c r="B252" s="32">
        <v>2239.46</v>
      </c>
      <c r="C252" s="14"/>
      <c r="D252" s="32">
        <v>0.3</v>
      </c>
      <c r="E252" s="84">
        <v>1800.0000000000002</v>
      </c>
      <c r="F252" s="14"/>
      <c r="G252" s="84">
        <v>10800.000000000002</v>
      </c>
      <c r="H252" s="14"/>
      <c r="I252" s="84">
        <v>0</v>
      </c>
      <c r="J252" s="14"/>
      <c r="K252" s="84">
        <v>10800.000000000002</v>
      </c>
      <c r="L252" s="14"/>
      <c r="M252" s="84">
        <v>6000</v>
      </c>
      <c r="N252" s="14"/>
    </row>
    <row r="253" spans="1:14" ht="15" customHeight="1" x14ac:dyDescent="0.25">
      <c r="A253" s="98">
        <v>44060</v>
      </c>
      <c r="B253" s="32">
        <v>2239.42</v>
      </c>
      <c r="C253" s="14"/>
      <c r="D253" s="32">
        <v>0.3</v>
      </c>
      <c r="E253" s="84">
        <v>1800.0000000000002</v>
      </c>
      <c r="F253" s="14"/>
      <c r="G253" s="84">
        <v>11300</v>
      </c>
      <c r="H253" s="14"/>
      <c r="I253" s="84">
        <v>0</v>
      </c>
      <c r="J253" s="14"/>
      <c r="K253" s="84">
        <v>11300</v>
      </c>
      <c r="L253" s="14"/>
      <c r="M253" s="84">
        <v>6000</v>
      </c>
      <c r="N253" s="14"/>
    </row>
    <row r="254" spans="1:14" ht="15" customHeight="1" x14ac:dyDescent="0.25">
      <c r="A254" s="98">
        <v>44061</v>
      </c>
      <c r="B254" s="32">
        <v>2239.4</v>
      </c>
      <c r="C254" s="14"/>
      <c r="D254" s="32">
        <v>0.3</v>
      </c>
      <c r="E254" s="84">
        <v>1800.0000000000002</v>
      </c>
      <c r="F254" s="14"/>
      <c r="G254" s="84">
        <v>11400</v>
      </c>
      <c r="H254" s="14" t="s">
        <v>65</v>
      </c>
      <c r="I254" s="84">
        <v>0</v>
      </c>
      <c r="J254" s="14"/>
      <c r="K254" s="84">
        <v>11400</v>
      </c>
      <c r="L254" s="14" t="s">
        <v>65</v>
      </c>
      <c r="M254" s="84">
        <v>6000</v>
      </c>
      <c r="N254" s="14"/>
    </row>
    <row r="255" spans="1:14" ht="15" customHeight="1" x14ac:dyDescent="0.25">
      <c r="A255" s="98">
        <v>44062</v>
      </c>
      <c r="B255" s="32">
        <v>2239.3200000000002</v>
      </c>
      <c r="C255" s="14"/>
      <c r="D255" s="32">
        <v>0.3</v>
      </c>
      <c r="E255" s="84">
        <v>1800.0000000000002</v>
      </c>
      <c r="F255" s="14"/>
      <c r="G255" s="84">
        <v>9800.0000000000018</v>
      </c>
      <c r="H255" s="14"/>
      <c r="I255" s="84">
        <v>0</v>
      </c>
      <c r="J255" s="14"/>
      <c r="K255" s="84">
        <v>9800.0000000000018</v>
      </c>
      <c r="L255" s="14"/>
      <c r="M255" s="84">
        <v>7000.0000000000009</v>
      </c>
      <c r="N255" s="14"/>
    </row>
    <row r="256" spans="1:14" ht="15" customHeight="1" x14ac:dyDescent="0.25">
      <c r="A256" s="98">
        <v>44063</v>
      </c>
      <c r="B256" s="32">
        <v>2239.3299999999995</v>
      </c>
      <c r="C256" s="14"/>
      <c r="D256" s="32">
        <v>0.3</v>
      </c>
      <c r="E256" s="84">
        <v>1800.0000000000002</v>
      </c>
      <c r="F256" s="14"/>
      <c r="G256" s="84">
        <v>10200</v>
      </c>
      <c r="H256" s="14"/>
      <c r="I256" s="84">
        <v>0</v>
      </c>
      <c r="J256" s="14"/>
      <c r="K256" s="84">
        <v>10200</v>
      </c>
      <c r="L256" s="14"/>
      <c r="M256" s="84">
        <v>7000.0000000000009</v>
      </c>
      <c r="N256" s="14"/>
    </row>
    <row r="257" spans="1:14" ht="15" customHeight="1" x14ac:dyDescent="0.25">
      <c r="A257" s="98">
        <v>44064</v>
      </c>
      <c r="B257" s="32">
        <v>2239.23</v>
      </c>
      <c r="C257" s="14"/>
      <c r="D257" s="32">
        <v>0.3</v>
      </c>
      <c r="E257" s="84">
        <v>1800.0000000000002</v>
      </c>
      <c r="F257" s="14"/>
      <c r="G257" s="84">
        <v>10500</v>
      </c>
      <c r="H257" s="14"/>
      <c r="I257" s="84">
        <v>0</v>
      </c>
      <c r="J257" s="14"/>
      <c r="K257" s="84">
        <v>10500</v>
      </c>
      <c r="L257" s="14"/>
      <c r="M257" s="84">
        <v>7000.0000000000009</v>
      </c>
      <c r="N257" s="14"/>
    </row>
    <row r="258" spans="1:14" ht="15" customHeight="1" x14ac:dyDescent="0.25">
      <c r="A258" s="98">
        <v>44065</v>
      </c>
      <c r="B258" s="32">
        <v>2239.2199999999993</v>
      </c>
      <c r="C258" s="14"/>
      <c r="D258" s="32">
        <v>0.3</v>
      </c>
      <c r="E258" s="84">
        <v>1800.0000000000002</v>
      </c>
      <c r="F258" s="14"/>
      <c r="G258" s="84">
        <v>10800.000000000002</v>
      </c>
      <c r="H258" s="14"/>
      <c r="I258" s="84">
        <v>0</v>
      </c>
      <c r="J258" s="14"/>
      <c r="K258" s="84">
        <v>10800.000000000002</v>
      </c>
      <c r="L258" s="14"/>
      <c r="M258" s="84">
        <v>7000.0000000000009</v>
      </c>
      <c r="N258" s="14"/>
    </row>
    <row r="259" spans="1:14" ht="15" customHeight="1" x14ac:dyDescent="0.25">
      <c r="A259" s="98">
        <v>44066</v>
      </c>
      <c r="B259" s="32">
        <v>2239.14</v>
      </c>
      <c r="C259" s="14"/>
      <c r="D259" s="32">
        <v>0.3</v>
      </c>
      <c r="E259" s="84">
        <v>1800.0000000000002</v>
      </c>
      <c r="F259" s="14"/>
      <c r="G259" s="84">
        <v>11000</v>
      </c>
      <c r="H259" s="14"/>
      <c r="I259" s="84">
        <v>0</v>
      </c>
      <c r="J259" s="14"/>
      <c r="K259" s="84">
        <v>11000</v>
      </c>
      <c r="L259" s="14"/>
      <c r="M259" s="84">
        <v>7000.0000000000009</v>
      </c>
      <c r="N259" s="14"/>
    </row>
    <row r="260" spans="1:14" ht="15" customHeight="1" x14ac:dyDescent="0.25">
      <c r="A260" s="98">
        <v>44067</v>
      </c>
      <c r="B260" s="32">
        <v>2239.0299999999997</v>
      </c>
      <c r="C260" s="14"/>
      <c r="D260" s="32">
        <v>0.4</v>
      </c>
      <c r="E260" s="84">
        <v>2400</v>
      </c>
      <c r="F260" s="14"/>
      <c r="G260" s="84">
        <v>10600.000000000002</v>
      </c>
      <c r="H260" s="14"/>
      <c r="I260" s="84">
        <v>0</v>
      </c>
      <c r="J260" s="14"/>
      <c r="K260" s="84">
        <v>10600.000000000002</v>
      </c>
      <c r="L260" s="14"/>
      <c r="M260" s="84">
        <v>7000.0000000000009</v>
      </c>
      <c r="N260" s="14"/>
    </row>
    <row r="261" spans="1:14" ht="15" customHeight="1" x14ac:dyDescent="0.25">
      <c r="A261" s="98">
        <v>44068</v>
      </c>
      <c r="B261" s="32">
        <v>2239.1599999999994</v>
      </c>
      <c r="C261" s="14"/>
      <c r="D261" s="32">
        <v>0.3</v>
      </c>
      <c r="E261" s="84">
        <v>1800.0000000000002</v>
      </c>
      <c r="F261" s="14"/>
      <c r="G261" s="84">
        <v>11100</v>
      </c>
      <c r="H261" s="14"/>
      <c r="I261" s="84">
        <v>0</v>
      </c>
      <c r="J261" s="14"/>
      <c r="K261" s="84">
        <v>11100</v>
      </c>
      <c r="L261" s="14"/>
      <c r="M261" s="84">
        <v>7000.0000000000009</v>
      </c>
      <c r="N261" s="14"/>
    </row>
    <row r="262" spans="1:14" ht="15" customHeight="1" x14ac:dyDescent="0.25">
      <c r="A262" s="98">
        <v>44069</v>
      </c>
      <c r="B262" s="32">
        <v>2238.9199999999996</v>
      </c>
      <c r="C262" s="14"/>
      <c r="D262" s="32">
        <v>0.4</v>
      </c>
      <c r="E262" s="84">
        <v>2400</v>
      </c>
      <c r="F262" s="14"/>
      <c r="G262" s="84">
        <v>11100</v>
      </c>
      <c r="H262" s="14"/>
      <c r="I262" s="84">
        <v>0</v>
      </c>
      <c r="J262" s="14"/>
      <c r="K262" s="84">
        <v>11100</v>
      </c>
      <c r="L262" s="14"/>
      <c r="M262" s="84">
        <v>7000.0000000000009</v>
      </c>
      <c r="N262" s="14"/>
    </row>
    <row r="263" spans="1:14" ht="15" customHeight="1" x14ac:dyDescent="0.25">
      <c r="A263" s="98">
        <v>44070</v>
      </c>
      <c r="B263" s="32">
        <v>2238.7199999999998</v>
      </c>
      <c r="C263" s="14"/>
      <c r="D263" s="32">
        <v>0.4</v>
      </c>
      <c r="E263" s="84">
        <v>2400</v>
      </c>
      <c r="F263" s="14"/>
      <c r="G263" s="84">
        <v>11300</v>
      </c>
      <c r="H263" s="14"/>
      <c r="I263" s="84">
        <v>0</v>
      </c>
      <c r="J263" s="14"/>
      <c r="K263" s="84">
        <v>11300</v>
      </c>
      <c r="L263" s="14"/>
      <c r="M263" s="84">
        <v>7000.0000000000009</v>
      </c>
      <c r="N263" s="14"/>
    </row>
    <row r="264" spans="1:14" ht="15" customHeight="1" x14ac:dyDescent="0.25">
      <c r="A264" s="98">
        <v>44071</v>
      </c>
      <c r="B264" s="32">
        <v>2238.8099999999995</v>
      </c>
      <c r="C264" s="14"/>
      <c r="D264" s="32">
        <v>0.3</v>
      </c>
      <c r="E264" s="84">
        <v>1800.0000000000002</v>
      </c>
      <c r="F264" s="14"/>
      <c r="G264" s="84">
        <v>11200</v>
      </c>
      <c r="H264" s="14"/>
      <c r="I264" s="84">
        <v>0</v>
      </c>
      <c r="J264" s="14"/>
      <c r="K264" s="84">
        <v>11200</v>
      </c>
      <c r="L264" s="14"/>
      <c r="M264" s="84">
        <v>6000</v>
      </c>
      <c r="N264" s="14"/>
    </row>
    <row r="265" spans="1:14" ht="15" customHeight="1" x14ac:dyDescent="0.25">
      <c r="A265" s="98">
        <v>44072</v>
      </c>
      <c r="B265" s="32">
        <v>2238.7199999999998</v>
      </c>
      <c r="C265" s="14"/>
      <c r="D265" s="32">
        <v>0.4</v>
      </c>
      <c r="E265" s="84">
        <v>2400</v>
      </c>
      <c r="F265" s="14"/>
      <c r="G265" s="84">
        <v>11000</v>
      </c>
      <c r="H265" s="14"/>
      <c r="I265" s="84">
        <v>0</v>
      </c>
      <c r="J265" s="14"/>
      <c r="K265" s="84">
        <v>11000</v>
      </c>
      <c r="L265" s="14"/>
      <c r="M265" s="84">
        <v>7000.0000000000009</v>
      </c>
      <c r="N265" s="14"/>
    </row>
    <row r="266" spans="1:14" ht="15" customHeight="1" x14ac:dyDescent="0.25">
      <c r="A266" s="98">
        <v>44073</v>
      </c>
      <c r="B266" s="32">
        <v>2238.7199999999998</v>
      </c>
      <c r="C266" s="14"/>
      <c r="D266" s="32">
        <v>0.4</v>
      </c>
      <c r="E266" s="84">
        <v>2400</v>
      </c>
      <c r="F266" s="14"/>
      <c r="G266" s="84">
        <v>11100</v>
      </c>
      <c r="H266" s="14"/>
      <c r="I266" s="84">
        <v>0</v>
      </c>
      <c r="J266" s="14"/>
      <c r="K266" s="84">
        <v>11100</v>
      </c>
      <c r="L266" s="14"/>
      <c r="M266" s="84">
        <v>7000.0000000000009</v>
      </c>
      <c r="N266" s="14"/>
    </row>
    <row r="267" spans="1:14" ht="15" customHeight="1" x14ac:dyDescent="0.25">
      <c r="A267" s="98">
        <v>44074</v>
      </c>
      <c r="B267" s="32">
        <v>2238.66</v>
      </c>
      <c r="C267" s="14" t="s">
        <v>66</v>
      </c>
      <c r="D267" s="32">
        <v>0.2</v>
      </c>
      <c r="E267" s="84">
        <v>1500</v>
      </c>
      <c r="F267" s="14"/>
      <c r="G267" s="84">
        <v>11100</v>
      </c>
      <c r="H267" s="14"/>
      <c r="I267" s="84">
        <v>0</v>
      </c>
      <c r="J267" s="14"/>
      <c r="K267" s="84">
        <v>11100</v>
      </c>
      <c r="L267" s="14"/>
      <c r="M267" s="84">
        <v>7000.0000000000009</v>
      </c>
      <c r="N267" s="14"/>
    </row>
    <row r="268" spans="1:14" ht="15" customHeight="1" x14ac:dyDescent="0.25">
      <c r="A268" s="83" t="s">
        <v>0</v>
      </c>
      <c r="B268" s="83"/>
      <c r="C268" s="83"/>
      <c r="D268" s="32">
        <v>10.700000000000001</v>
      </c>
      <c r="E268" s="84">
        <v>67300</v>
      </c>
      <c r="F268" s="99"/>
      <c r="G268" s="84">
        <v>309500</v>
      </c>
      <c r="H268" s="99"/>
      <c r="I268" s="84">
        <v>0</v>
      </c>
      <c r="J268" s="100"/>
      <c r="K268" s="84">
        <v>309500</v>
      </c>
      <c r="L268" s="100"/>
      <c r="M268" s="84">
        <v>216000</v>
      </c>
      <c r="N268" s="100"/>
    </row>
    <row r="269" spans="1:14" ht="15" customHeight="1" x14ac:dyDescent="0.25">
      <c r="A269" s="83" t="s">
        <v>1</v>
      </c>
      <c r="B269" s="83"/>
      <c r="C269" s="83"/>
      <c r="D269" s="101"/>
      <c r="E269" s="84">
        <v>133500</v>
      </c>
      <c r="F269" s="99"/>
      <c r="G269" s="84">
        <v>614000</v>
      </c>
      <c r="H269" s="99"/>
      <c r="I269" s="84">
        <v>0</v>
      </c>
      <c r="J269" s="100"/>
      <c r="K269" s="84">
        <v>614000</v>
      </c>
      <c r="L269" s="100"/>
      <c r="M269" s="84">
        <v>428000</v>
      </c>
      <c r="N269" s="100"/>
    </row>
    <row r="270" spans="1:14" ht="15" customHeight="1" x14ac:dyDescent="0.25">
      <c r="A270" s="102" t="s">
        <v>2</v>
      </c>
      <c r="B270" s="32">
        <v>2239.442258064516</v>
      </c>
      <c r="C270" s="103"/>
      <c r="D270" s="32">
        <v>0.34516129032258069</v>
      </c>
      <c r="E270" s="84">
        <v>2200</v>
      </c>
      <c r="F270" s="99"/>
      <c r="G270" s="84">
        <v>10000</v>
      </c>
      <c r="H270" s="99"/>
      <c r="I270" s="84">
        <v>0</v>
      </c>
      <c r="J270" s="100"/>
      <c r="K270" s="84">
        <v>10000</v>
      </c>
      <c r="L270" s="100"/>
      <c r="M270" s="84">
        <v>7000</v>
      </c>
      <c r="N270" s="100"/>
    </row>
    <row r="271" spans="1:14" ht="15" customHeight="1" x14ac:dyDescent="0.25">
      <c r="A271" s="83" t="s">
        <v>25</v>
      </c>
      <c r="B271" s="83"/>
      <c r="C271" s="83"/>
      <c r="D271" s="83"/>
      <c r="E271" s="81" t="s">
        <v>31</v>
      </c>
      <c r="F271" s="88">
        <v>15797000</v>
      </c>
      <c r="G271" s="88"/>
      <c r="H271" s="62"/>
      <c r="I271" s="62"/>
      <c r="J271" s="83" t="s">
        <v>44</v>
      </c>
      <c r="K271" s="83"/>
      <c r="L271" s="88">
        <v>-319000</v>
      </c>
      <c r="M271" s="88"/>
    </row>
    <row r="272" spans="1:14" ht="15" customHeight="1" x14ac:dyDescent="0.25">
      <c r="A272" s="104" t="s">
        <v>32</v>
      </c>
      <c r="B272" s="60"/>
      <c r="C272" s="61"/>
      <c r="D272" s="83" t="s">
        <v>46</v>
      </c>
      <c r="E272" s="83"/>
      <c r="F272" s="88">
        <v>16109999.999999998</v>
      </c>
      <c r="G272" s="88"/>
      <c r="H272" s="62"/>
      <c r="I272" s="62"/>
      <c r="J272" s="83" t="s">
        <v>33</v>
      </c>
      <c r="K272" s="83"/>
      <c r="L272" s="88">
        <v>15797000</v>
      </c>
      <c r="M272" s="88"/>
    </row>
    <row r="273" spans="1:13" ht="15" customHeight="1" x14ac:dyDescent="0.25">
      <c r="A273" s="104" t="s">
        <v>30</v>
      </c>
      <c r="B273" s="60"/>
      <c r="C273" s="61"/>
      <c r="D273" s="83" t="s">
        <v>45</v>
      </c>
      <c r="E273" s="83"/>
      <c r="F273" s="66" t="s">
        <v>87</v>
      </c>
      <c r="G273" s="66"/>
      <c r="H273" s="62"/>
      <c r="I273" s="62"/>
      <c r="J273" s="61"/>
      <c r="K273" s="62"/>
      <c r="L273" s="61"/>
      <c r="M273" s="62"/>
    </row>
    <row r="274" spans="1:13" ht="15" customHeight="1" x14ac:dyDescent="0.25">
      <c r="A274" s="89" t="s">
        <v>88</v>
      </c>
      <c r="B274" s="89"/>
      <c r="C274" s="89"/>
      <c r="D274" s="89"/>
      <c r="E274" s="89"/>
      <c r="F274" s="89"/>
      <c r="G274" s="89"/>
      <c r="H274" s="89"/>
      <c r="I274" s="89"/>
      <c r="J274" s="89"/>
      <c r="K274" s="89"/>
      <c r="L274" s="89"/>
      <c r="M274" s="90">
        <v>44044</v>
      </c>
    </row>
    <row r="275" spans="1:13" ht="15" customHeight="1" x14ac:dyDescent="0.25">
      <c r="A275" s="89"/>
      <c r="B275" s="89"/>
      <c r="C275" s="89"/>
      <c r="D275" s="89"/>
      <c r="E275" s="89"/>
      <c r="F275" s="89"/>
      <c r="G275" s="89"/>
      <c r="H275" s="89"/>
      <c r="I275" s="89"/>
      <c r="J275" s="89"/>
      <c r="K275" s="89"/>
      <c r="L275" s="89"/>
      <c r="M275" s="90"/>
    </row>
    <row r="276" spans="1:13" ht="15" customHeight="1" x14ac:dyDescent="0.25">
      <c r="A276" s="89"/>
      <c r="B276" s="89"/>
      <c r="C276" s="89"/>
      <c r="D276" s="89"/>
      <c r="E276" s="89"/>
      <c r="F276" s="89"/>
      <c r="G276" s="89"/>
      <c r="H276" s="89"/>
      <c r="I276" s="89"/>
      <c r="J276" s="89"/>
      <c r="K276" s="89"/>
      <c r="L276" s="89"/>
      <c r="M276" s="90"/>
    </row>
    <row r="277" spans="1:13" ht="15" customHeight="1" x14ac:dyDescent="0.25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FTPK</vt:lpstr>
      <vt:lpstr>GARR</vt:lpstr>
      <vt:lpstr>OAHE</vt:lpstr>
      <vt:lpstr>BEND</vt:lpstr>
      <vt:lpstr>FTRA</vt:lpstr>
      <vt:lpstr>GAPT</vt:lpstr>
      <vt:lpstr>CWMS Data</vt:lpstr>
      <vt:lpstr>Write2Db</vt:lpstr>
      <vt:lpstr>CsvData</vt:lpstr>
      <vt:lpstr>BEND!Print_Area</vt:lpstr>
      <vt:lpstr>FTPK!Print_Area</vt:lpstr>
      <vt:lpstr>FTRA!Print_Area</vt:lpstr>
      <vt:lpstr>GAPT!Print_Area</vt:lpstr>
      <vt:lpstr>GARR!Print_Area</vt:lpstr>
      <vt:lpstr>OAHE!Print_Area</vt:lpstr>
    </vt:vector>
  </TitlesOfParts>
  <Company>USACE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G0CMWAJF</dc:creator>
  <cp:lastModifiedBy>USACE-Kevin Stamm</cp:lastModifiedBy>
  <cp:lastPrinted>2020-09-01T13:07:48Z</cp:lastPrinted>
  <dcterms:created xsi:type="dcterms:W3CDTF">2014-01-28T16:25:02Z</dcterms:created>
  <dcterms:modified xsi:type="dcterms:W3CDTF">2020-09-01T13:07:53Z</dcterms:modified>
</cp:coreProperties>
</file>